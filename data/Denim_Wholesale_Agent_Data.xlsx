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ownloads\Pics_Renamed\"/>
    </mc:Choice>
  </mc:AlternateContent>
  <xr:revisionPtr revIDLastSave="0" documentId="13_ncr:1_{B747D0A9-3412-4530-9088-1759F069E8D4}" xr6:coauthVersionLast="47" xr6:coauthVersionMax="47" xr10:uidLastSave="{00000000-0000-0000-0000-000000000000}"/>
  <bookViews>
    <workbookView xWindow="28680" yWindow="-120" windowWidth="20730" windowHeight="11040" tabRatio="500" xr2:uid="{00000000-000D-0000-FFFF-FFFF00000000}"/>
  </bookViews>
  <sheets>
    <sheet name="Products" sheetId="1" r:id="rId1"/>
    <sheet name="Business_Info" sheetId="2" r:id="rId2"/>
    <sheet name="Customer_FAQ" sheetId="3" r:id="rId3"/>
    <sheet name="Leads_Template" sheetId="4" r:id="rId4"/>
    <sheet name="Summary" sheetId="5" r:id="rId5"/>
  </sheets>
  <definedNames>
    <definedName name="_xlnm._FilterDatabase" localSheetId="2" hidden="1">Customer_FAQ!$A$4:$F$70</definedName>
    <definedName name="_xlnm._FilterDatabase" localSheetId="0" hidden="1">Products!$A$1:$Y$121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5" l="1"/>
  <c r="D8" i="5"/>
  <c r="C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G4" i="5"/>
  <c r="G8" i="5" s="1"/>
  <c r="F4" i="5"/>
  <c r="F8" i="5" s="1"/>
  <c r="E4" i="5"/>
  <c r="D4" i="5"/>
  <c r="C4" i="5"/>
  <c r="B4" i="5"/>
  <c r="B8" i="5" s="1"/>
  <c r="K2" i="4"/>
  <c r="H121" i="1"/>
  <c r="E121" i="1"/>
  <c r="F121" i="1" s="1"/>
  <c r="H120" i="1"/>
  <c r="E120" i="1"/>
  <c r="F120" i="1" s="1"/>
  <c r="H119" i="1"/>
  <c r="E119" i="1"/>
  <c r="F119" i="1" s="1"/>
  <c r="H118" i="1"/>
  <c r="E118" i="1"/>
  <c r="F118" i="1" s="1"/>
  <c r="H117" i="1"/>
  <c r="E117" i="1"/>
  <c r="F117" i="1" s="1"/>
  <c r="H116" i="1"/>
  <c r="F116" i="1"/>
  <c r="E116" i="1"/>
  <c r="H115" i="1"/>
  <c r="F115" i="1"/>
  <c r="E115" i="1"/>
  <c r="H114" i="1"/>
  <c r="E114" i="1"/>
  <c r="F114" i="1" s="1"/>
  <c r="H113" i="1"/>
  <c r="E113" i="1"/>
  <c r="F113" i="1" s="1"/>
  <c r="H112" i="1"/>
  <c r="E112" i="1"/>
  <c r="F112" i="1" s="1"/>
  <c r="H111" i="1"/>
  <c r="E111" i="1"/>
  <c r="F111" i="1" s="1"/>
  <c r="H110" i="1"/>
  <c r="E110" i="1"/>
  <c r="F110" i="1" s="1"/>
  <c r="H109" i="1"/>
  <c r="E109" i="1"/>
  <c r="F109" i="1" s="1"/>
  <c r="H108" i="1"/>
  <c r="F108" i="1"/>
  <c r="E108" i="1"/>
  <c r="H107" i="1"/>
  <c r="F107" i="1"/>
  <c r="E107" i="1"/>
  <c r="H106" i="1"/>
  <c r="E106" i="1"/>
  <c r="F106" i="1" s="1"/>
  <c r="H105" i="1"/>
  <c r="E105" i="1"/>
  <c r="F105" i="1" s="1"/>
  <c r="H104" i="1"/>
  <c r="E104" i="1"/>
  <c r="F104" i="1" s="1"/>
  <c r="H103" i="1"/>
  <c r="E103" i="1"/>
  <c r="F103" i="1" s="1"/>
  <c r="H102" i="1"/>
  <c r="E102" i="1"/>
  <c r="F102" i="1" s="1"/>
  <c r="H101" i="1"/>
  <c r="E101" i="1"/>
  <c r="F101" i="1" s="1"/>
  <c r="H100" i="1"/>
  <c r="F100" i="1"/>
  <c r="E100" i="1"/>
  <c r="H99" i="1"/>
  <c r="F99" i="1"/>
  <c r="E99" i="1"/>
  <c r="H98" i="1"/>
  <c r="E98" i="1"/>
  <c r="F98" i="1" s="1"/>
  <c r="H97" i="1"/>
  <c r="E97" i="1"/>
  <c r="F97" i="1" s="1"/>
  <c r="H96" i="1"/>
  <c r="E96" i="1"/>
  <c r="F96" i="1" s="1"/>
  <c r="H95" i="1"/>
  <c r="E95" i="1"/>
  <c r="F95" i="1" s="1"/>
  <c r="H94" i="1"/>
  <c r="E94" i="1"/>
  <c r="F94" i="1" s="1"/>
  <c r="H93" i="1"/>
  <c r="E93" i="1"/>
  <c r="F93" i="1" s="1"/>
  <c r="H92" i="1"/>
  <c r="F92" i="1"/>
  <c r="E92" i="1"/>
  <c r="H91" i="1"/>
  <c r="F91" i="1"/>
  <c r="E91" i="1"/>
  <c r="H90" i="1"/>
  <c r="E90" i="1"/>
  <c r="F90" i="1" s="1"/>
  <c r="H89" i="1"/>
  <c r="E89" i="1"/>
  <c r="F89" i="1" s="1"/>
  <c r="H88" i="1"/>
  <c r="E88" i="1"/>
  <c r="F88" i="1" s="1"/>
  <c r="H87" i="1"/>
  <c r="E87" i="1"/>
  <c r="F87" i="1" s="1"/>
  <c r="H86" i="1"/>
  <c r="E86" i="1"/>
  <c r="F86" i="1" s="1"/>
  <c r="H85" i="1"/>
  <c r="E85" i="1"/>
  <c r="F85" i="1" s="1"/>
  <c r="H84" i="1"/>
  <c r="F84" i="1"/>
  <c r="E84" i="1"/>
  <c r="H83" i="1"/>
  <c r="F83" i="1"/>
  <c r="E83" i="1"/>
  <c r="H82" i="1"/>
  <c r="E82" i="1"/>
  <c r="F82" i="1" s="1"/>
  <c r="H81" i="1"/>
  <c r="E81" i="1"/>
  <c r="F81" i="1" s="1"/>
  <c r="H80" i="1"/>
  <c r="F80" i="1"/>
  <c r="E80" i="1"/>
  <c r="H79" i="1"/>
  <c r="E79" i="1"/>
  <c r="F79" i="1" s="1"/>
  <c r="H78" i="1"/>
  <c r="E78" i="1"/>
  <c r="F78" i="1" s="1"/>
  <c r="H77" i="1"/>
  <c r="E77" i="1"/>
  <c r="F77" i="1" s="1"/>
  <c r="H76" i="1"/>
  <c r="F76" i="1"/>
  <c r="E76" i="1"/>
  <c r="H75" i="1"/>
  <c r="F75" i="1"/>
  <c r="E75" i="1"/>
  <c r="H74" i="1"/>
  <c r="E74" i="1"/>
  <c r="F74" i="1" s="1"/>
  <c r="H73" i="1"/>
  <c r="E73" i="1"/>
  <c r="F73" i="1" s="1"/>
  <c r="H72" i="1"/>
  <c r="F72" i="1"/>
  <c r="E72" i="1"/>
  <c r="H71" i="1"/>
  <c r="E71" i="1"/>
  <c r="F71" i="1" s="1"/>
  <c r="H70" i="1"/>
  <c r="E70" i="1"/>
  <c r="F70" i="1" s="1"/>
  <c r="H69" i="1"/>
  <c r="E69" i="1"/>
  <c r="F69" i="1" s="1"/>
  <c r="H68" i="1"/>
  <c r="F68" i="1"/>
  <c r="E68" i="1"/>
  <c r="H67" i="1"/>
  <c r="F67" i="1"/>
  <c r="E67" i="1"/>
  <c r="H66" i="1"/>
  <c r="E66" i="1"/>
  <c r="F66" i="1" s="1"/>
  <c r="H65" i="1"/>
  <c r="E65" i="1"/>
  <c r="F65" i="1" s="1"/>
  <c r="H64" i="1"/>
  <c r="F64" i="1"/>
  <c r="E64" i="1"/>
  <c r="H63" i="1"/>
  <c r="E63" i="1"/>
  <c r="F63" i="1" s="1"/>
  <c r="H62" i="1"/>
  <c r="E62" i="1"/>
  <c r="F62" i="1" s="1"/>
  <c r="H61" i="1"/>
  <c r="E61" i="1"/>
  <c r="F61" i="1" s="1"/>
  <c r="H60" i="1"/>
  <c r="F60" i="1"/>
  <c r="E60" i="1"/>
  <c r="H59" i="1"/>
  <c r="F59" i="1"/>
  <c r="E59" i="1"/>
  <c r="H58" i="1"/>
  <c r="E58" i="1"/>
  <c r="F58" i="1" s="1"/>
  <c r="H57" i="1"/>
  <c r="E57" i="1"/>
  <c r="F57" i="1" s="1"/>
  <c r="H56" i="1"/>
  <c r="F56" i="1"/>
  <c r="E56" i="1"/>
  <c r="H55" i="1"/>
  <c r="E55" i="1"/>
  <c r="F55" i="1" s="1"/>
  <c r="H54" i="1"/>
  <c r="E54" i="1"/>
  <c r="F54" i="1" s="1"/>
  <c r="H53" i="1"/>
  <c r="E53" i="1"/>
  <c r="F53" i="1" s="1"/>
  <c r="H52" i="1"/>
  <c r="F52" i="1"/>
  <c r="E52" i="1"/>
  <c r="H51" i="1"/>
  <c r="F51" i="1"/>
  <c r="E51" i="1"/>
  <c r="H50" i="1"/>
  <c r="E50" i="1"/>
  <c r="F50" i="1" s="1"/>
  <c r="H49" i="1"/>
  <c r="E49" i="1"/>
  <c r="F49" i="1" s="1"/>
  <c r="H48" i="1"/>
  <c r="F48" i="1"/>
  <c r="E48" i="1"/>
  <c r="H47" i="1"/>
  <c r="E47" i="1"/>
  <c r="F47" i="1" s="1"/>
  <c r="H46" i="1"/>
  <c r="E46" i="1"/>
  <c r="F46" i="1" s="1"/>
  <c r="H45" i="1"/>
  <c r="E45" i="1"/>
  <c r="F45" i="1" s="1"/>
  <c r="H44" i="1"/>
  <c r="F44" i="1"/>
  <c r="E44" i="1"/>
  <c r="H43" i="1"/>
  <c r="F43" i="1"/>
  <c r="E43" i="1"/>
  <c r="H42" i="1"/>
  <c r="E42" i="1"/>
  <c r="F42" i="1" s="1"/>
  <c r="H41" i="1"/>
  <c r="E41" i="1"/>
  <c r="F41" i="1" s="1"/>
  <c r="H40" i="1"/>
  <c r="E40" i="1"/>
  <c r="F40" i="1" s="1"/>
  <c r="H39" i="1"/>
  <c r="E39" i="1"/>
  <c r="F39" i="1" s="1"/>
  <c r="H38" i="1"/>
  <c r="E38" i="1"/>
  <c r="F38" i="1" s="1"/>
  <c r="H37" i="1"/>
  <c r="E37" i="1"/>
  <c r="F37" i="1" s="1"/>
  <c r="H36" i="1"/>
  <c r="F36" i="1"/>
  <c r="E36" i="1"/>
  <c r="H35" i="1"/>
  <c r="F35" i="1"/>
  <c r="E35" i="1"/>
  <c r="H34" i="1"/>
  <c r="E34" i="1"/>
  <c r="F34" i="1" s="1"/>
  <c r="H33" i="1"/>
  <c r="E33" i="1"/>
  <c r="F33" i="1" s="1"/>
  <c r="H32" i="1"/>
  <c r="F32" i="1"/>
  <c r="E32" i="1"/>
  <c r="H31" i="1"/>
  <c r="E31" i="1"/>
  <c r="F31" i="1" s="1"/>
  <c r="H30" i="1"/>
  <c r="E30" i="1"/>
  <c r="F30" i="1" s="1"/>
  <c r="H29" i="1"/>
  <c r="E29" i="1"/>
  <c r="F29" i="1" s="1"/>
  <c r="H28" i="1"/>
  <c r="F28" i="1"/>
  <c r="E28" i="1"/>
  <c r="H27" i="1"/>
  <c r="F27" i="1"/>
  <c r="E27" i="1"/>
  <c r="H26" i="1"/>
  <c r="E26" i="1"/>
  <c r="F26" i="1" s="1"/>
  <c r="H25" i="1"/>
  <c r="E25" i="1"/>
  <c r="F25" i="1" s="1"/>
  <c r="H24" i="1"/>
  <c r="F24" i="1"/>
  <c r="E24" i="1"/>
  <c r="H23" i="1"/>
  <c r="E23" i="1"/>
  <c r="F23" i="1" s="1"/>
  <c r="H22" i="1"/>
  <c r="E22" i="1"/>
  <c r="F22" i="1" s="1"/>
  <c r="H21" i="1"/>
  <c r="E21" i="1"/>
  <c r="F21" i="1" s="1"/>
  <c r="H20" i="1"/>
  <c r="F20" i="1"/>
  <c r="E20" i="1"/>
  <c r="H19" i="1"/>
  <c r="F19" i="1"/>
  <c r="E19" i="1"/>
  <c r="H18" i="1"/>
  <c r="E18" i="1"/>
  <c r="F18" i="1" s="1"/>
  <c r="H17" i="1"/>
  <c r="E17" i="1"/>
  <c r="F17" i="1" s="1"/>
  <c r="H16" i="1"/>
  <c r="F16" i="1"/>
  <c r="E16" i="1"/>
  <c r="H15" i="1"/>
  <c r="E15" i="1"/>
  <c r="F15" i="1" s="1"/>
  <c r="H14" i="1"/>
  <c r="E14" i="1"/>
  <c r="F14" i="1" s="1"/>
  <c r="H13" i="1"/>
  <c r="E13" i="1"/>
  <c r="F13" i="1" s="1"/>
  <c r="H12" i="1"/>
  <c r="F12" i="1"/>
  <c r="E12" i="1"/>
  <c r="H11" i="1"/>
  <c r="F11" i="1"/>
  <c r="E11" i="1"/>
  <c r="H10" i="1"/>
  <c r="E10" i="1"/>
  <c r="F10" i="1" s="1"/>
  <c r="H9" i="1"/>
  <c r="E9" i="1"/>
  <c r="F9" i="1" s="1"/>
  <c r="H8" i="1"/>
  <c r="F8" i="1"/>
  <c r="E8" i="1"/>
  <c r="H7" i="1"/>
  <c r="E7" i="1"/>
  <c r="F7" i="1" s="1"/>
  <c r="H6" i="1"/>
  <c r="E6" i="1"/>
  <c r="F6" i="1" s="1"/>
  <c r="H5" i="1"/>
  <c r="E5" i="1"/>
  <c r="F5" i="1" s="1"/>
  <c r="H4" i="1"/>
  <c r="F4" i="1"/>
  <c r="E4" i="1"/>
  <c r="H3" i="1"/>
  <c r="F3" i="1"/>
  <c r="E3" i="1"/>
  <c r="H2" i="1"/>
  <c r="E2" i="1"/>
  <c r="F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" authorId="0" shapeId="0" xr:uid="{00000000-0006-0000-0000-000001000000}">
      <text>
        <r>
          <rPr>
            <sz val="10"/>
            <rFont val="Arial"/>
            <family val="2"/>
          </rPr>
          <t>Asking Price − Max Discount (Business_Info!B3). Floor price for bargaining — never shown to customers up front.</t>
        </r>
      </text>
    </comment>
    <comment ref="W1" authorId="0" shapeId="0" xr:uid="{00000000-0006-0000-0000-000002000000}">
      <text>
        <r>
          <rPr>
            <sz val="10"/>
            <rFont val="Arial"/>
            <family val="2"/>
          </rPr>
          <t>Public Cloudinary link (cloud: sdquiuat, preset denim_catalog keeps the file name as Public ID). Used by n8n to send images on WhatsApp.</t>
        </r>
      </text>
    </comment>
  </commentList>
</comments>
</file>

<file path=xl/sharedStrings.xml><?xml version="1.0" encoding="utf-8"?>
<sst xmlns="http://schemas.openxmlformats.org/spreadsheetml/2006/main" count="2510" uniqueCount="1334">
  <si>
    <t>Product ID</t>
  </si>
  <si>
    <t>Product Name</t>
  </si>
  <si>
    <t>Category / Segment</t>
  </si>
  <si>
    <t>Asking Price (TK/pc)</t>
  </si>
  <si>
    <t>Max Discount (TK/pc)</t>
  </si>
  <si>
    <t>Lowest Price (TK/pc)</t>
  </si>
  <si>
    <t>Bundle Size (pcs)</t>
  </si>
  <si>
    <t>Bundle Price at Asking (TK)</t>
  </si>
  <si>
    <t>MOQ (bundles)</t>
  </si>
  <si>
    <t>Fit</t>
  </si>
  <si>
    <t>Color / Wash</t>
  </si>
  <si>
    <t>Fabric</t>
  </si>
  <si>
    <t>Style / Key Features</t>
  </si>
  <si>
    <t>Sizes</t>
  </si>
  <si>
    <t>Size Assortment per Bundle</t>
  </si>
  <si>
    <t>Stock (bundles)</t>
  </si>
  <si>
    <t>Stock Status</t>
  </si>
  <si>
    <t>Dispatch Time</t>
  </si>
  <si>
    <t>Full Details</t>
  </si>
  <si>
    <t>Search Keywords</t>
  </si>
  <si>
    <t>Catalog Batch (20 per batch)</t>
  </si>
  <si>
    <t>Image File Name</t>
  </si>
  <si>
    <t>Image URL (Cloudinary)</t>
  </si>
  <si>
    <t>Active</t>
  </si>
  <si>
    <t>Demo-filled Fields (original sheet)</t>
  </si>
  <si>
    <t>PD011</t>
  </si>
  <si>
    <t>Men's Slim Fit Jeans – Light Blue Wash</t>
  </si>
  <si>
    <t>Adult Male</t>
  </si>
  <si>
    <t>Slim Fit</t>
  </si>
  <si>
    <t>Light Blue Wash</t>
  </si>
  <si>
    <t>Denim (98% Cotton, 2% Spandex)</t>
  </si>
  <si>
    <t>5 Pocket</t>
  </si>
  <si>
    <t>28–36</t>
  </si>
  <si>
    <t>28×6, 30×6, 32×6, 34×6, 36×6</t>
  </si>
  <si>
    <t>Made to Order</t>
  </si>
  <si>
    <t>15–20 days (production)</t>
  </si>
  <si>
    <t>Denim (98% Cotton, 2% Spandex), Slim Fit, Light Blue Wash, 5 Pocket</t>
  </si>
  <si>
    <t>adult male, blue, light, men, pocket, slim, stretch</t>
  </si>
  <si>
    <t>PD011_Adult_Male.png</t>
  </si>
  <si>
    <t>https://res.cloudinary.com/sdquiuat/image/upload/PD011_Adult_Male.png</t>
  </si>
  <si>
    <t>Yes</t>
  </si>
  <si>
    <t>PD012</t>
  </si>
  <si>
    <t>Men's Regular Fit Jeans – Washed Black</t>
  </si>
  <si>
    <t>Regular Fit</t>
  </si>
  <si>
    <t>Washed Black</t>
  </si>
  <si>
    <t>Denim (100% Cotton)</t>
  </si>
  <si>
    <t>Ripped Design</t>
  </si>
  <si>
    <t>28–38</t>
  </si>
  <si>
    <t>28×5, 30×5, 32×5, 34×5, 36×5, 38×5</t>
  </si>
  <si>
    <t>In Stock</t>
  </si>
  <si>
    <t>2–3 days</t>
  </si>
  <si>
    <t>Denim (100% Cotton), Regular Fit, Washed Black, Ripped Design</t>
  </si>
  <si>
    <t>adult male, black, design, men, regular, ripped, washed</t>
  </si>
  <si>
    <t>PD012_Adult_Male.png</t>
  </si>
  <si>
    <t>https://res.cloudinary.com/sdquiuat/image/upload/PD012_Adult_Male.png</t>
  </si>
  <si>
    <t>PD013</t>
  </si>
  <si>
    <t>Men's Straight Fit Jeans – Dark Blue</t>
  </si>
  <si>
    <t>Straight Fit</t>
  </si>
  <si>
    <t>Dark Blue</t>
  </si>
  <si>
    <t>Clean Look</t>
  </si>
  <si>
    <t>Denim (100% Cotton), Straight Fit, Dark Blue, Clean Look</t>
  </si>
  <si>
    <t>adult male, blue, clean, dark, look, men, straight</t>
  </si>
  <si>
    <t>PD013_Adult_Male.png</t>
  </si>
  <si>
    <t>https://res.cloudinary.com/sdquiuat/image/upload/PD013_Adult_Male.png</t>
  </si>
  <si>
    <t>PD014</t>
  </si>
  <si>
    <t>Women's Wide Leg Jeans – Light Blue</t>
  </si>
  <si>
    <t>Adult Female</t>
  </si>
  <si>
    <t>Wide Leg</t>
  </si>
  <si>
    <t>Light Blue</t>
  </si>
  <si>
    <t>High Waist</t>
  </si>
  <si>
    <t>26–36</t>
  </si>
  <si>
    <t>26×5, 28×5, 30×5, 32×5, 34×5, 36×5</t>
  </si>
  <si>
    <t>Denim (98% Cotton, 2% Spandex), Wide Leg, Light Blue, High Waist</t>
  </si>
  <si>
    <t>adult female, blue, high, leg, light, stretch, waist, wide, women</t>
  </si>
  <si>
    <t>PD014_Adult_Female.png</t>
  </si>
  <si>
    <t>https://res.cloudinary.com/sdquiuat/image/upload/PD014_Adult_Female.png</t>
  </si>
  <si>
    <t>PD015</t>
  </si>
  <si>
    <t>Women's Flare Fit Jeans – Black</t>
  </si>
  <si>
    <t>Flare Fit</t>
  </si>
  <si>
    <t>Black</t>
  </si>
  <si>
    <t>26–34</t>
  </si>
  <si>
    <t>26×6, 28×6, 30×6, 32×6, 34×6</t>
  </si>
  <si>
    <t>Denim (98% Cotton, 2% Spandex), Flare Fit, Black, High Waist</t>
  </si>
  <si>
    <t>adult female, black, flare, high, stretch, waist, women</t>
  </si>
  <si>
    <t>PD015_Adult_Female.png</t>
  </si>
  <si>
    <t>https://res.cloudinary.com/sdquiuat/image/upload/PD015_Adult_Female.png</t>
  </si>
  <si>
    <t>PD016</t>
  </si>
  <si>
    <t>Women's Skinny Fit Jeans – Mid Blue</t>
  </si>
  <si>
    <t>Skinny Fit</t>
  </si>
  <si>
    <t>Mid Blue</t>
  </si>
  <si>
    <t>Ripped</t>
  </si>
  <si>
    <t>Denim (98% Cotton, 2% Spandex), Skinny Fit, Mid Blue, Ripped</t>
  </si>
  <si>
    <t>adult female, blue, mid, ripped, skinny, stretch, women</t>
  </si>
  <si>
    <t>PD016_Adult_Female.png</t>
  </si>
  <si>
    <t>https://res.cloudinary.com/sdquiuat/image/upload/PD016_Adult_Female.png</t>
  </si>
  <si>
    <t>PD017</t>
  </si>
  <si>
    <t>Boys' Regular Fit Jeans – Dark Blue</t>
  </si>
  <si>
    <t>Kids Boy</t>
  </si>
  <si>
    <t>Cargo Pocket</t>
  </si>
  <si>
    <t>5–14 Years</t>
  </si>
  <si>
    <t>5Y×6, 7Y×6, 9Y×6, 11Y×6, 13Y×6</t>
  </si>
  <si>
    <t>Denim (100% Cotton), Regular Fit, Dark Blue, Cargo Pocket</t>
  </si>
  <si>
    <t>blue, boys kids, cargo, dark, kids boy, pocket, regular</t>
  </si>
  <si>
    <t>PD017_Kids_Boy.png</t>
  </si>
  <si>
    <t>https://res.cloudinary.com/sdquiuat/image/upload/PD017_Kids_Boy.png</t>
  </si>
  <si>
    <t>PD018</t>
  </si>
  <si>
    <t>Boys' Regular Fit Jeans – Light Blue</t>
  </si>
  <si>
    <t>Printed Design</t>
  </si>
  <si>
    <t>Denim (98% Cotton, 2% Spandex), Regular Fit, Light Blue, Printed Design</t>
  </si>
  <si>
    <t>blue, boys kids, design, kids boy, light, printed, regular, stretch</t>
  </si>
  <si>
    <t>PD018_Kids_Boy.png</t>
  </si>
  <si>
    <t>https://res.cloudinary.com/sdquiuat/image/upload/PD018_Kids_Boy.png</t>
  </si>
  <si>
    <t>PD019</t>
  </si>
  <si>
    <t>Girls' Regular Fit Jeans – Mid Blue</t>
  </si>
  <si>
    <t>Kids Girl</t>
  </si>
  <si>
    <t>Embroidery</t>
  </si>
  <si>
    <t>4–12 Years</t>
  </si>
  <si>
    <t>4Y×6, 6Y×6, 8Y×6, 10Y×6, 12Y×6</t>
  </si>
  <si>
    <t>Denim (98% Cotton, 2% Spandex), Regular Fit, Mid Blue, Embroidery</t>
  </si>
  <si>
    <t>blue, embroidery, girls kids, kids girl, mid, regular, stretch</t>
  </si>
  <si>
    <t>PD019_Kids_Girl.png</t>
  </si>
  <si>
    <t>https://res.cloudinary.com/sdquiuat/image/upload/PD019_Kids_Girl.png</t>
  </si>
  <si>
    <t>PD020</t>
  </si>
  <si>
    <t>Girls' Regular Fit Jeans – Pink</t>
  </si>
  <si>
    <t>Pink</t>
  </si>
  <si>
    <t>Denim (98% Cotton, 2% Spandex), Regular Fit, Pink, Embroidery</t>
  </si>
  <si>
    <t>embroidery, girls kids, kids girl, pink, regular, stretch</t>
  </si>
  <si>
    <t>PD020_Kids_Girl.png</t>
  </si>
  <si>
    <t>https://res.cloudinary.com/sdquiuat/image/upload/PD020_Kids_Girl.png</t>
  </si>
  <si>
    <t>PD021</t>
  </si>
  <si>
    <t>Men's Tapered Fit Jeans – Mid Blue Wash</t>
  </si>
  <si>
    <t>Tapered Fit</t>
  </si>
  <si>
    <t>Mid Blue Wash</t>
  </si>
  <si>
    <t>98% Cotton / 2% Elastane</t>
  </si>
  <si>
    <t>Classic 5 Pocket, Light Whiskering</t>
  </si>
  <si>
    <t>28×5, 30×5, 32×5, 34×5, 36×4</t>
  </si>
  <si>
    <t>Tapered Fit, Mid Blue Wash, 98% Cotton, 2% Elastane</t>
  </si>
  <si>
    <t>adult male, blue, classic, light, men, mid, pocket, stretch, tapered, whiskering</t>
  </si>
  <si>
    <t>PD021_Adult_Male.png</t>
  </si>
  <si>
    <t>https://res.cloudinary.com/sdquiuat/image/upload/PD021_Adult_Male.png</t>
  </si>
  <si>
    <t>Style / Key Features, Sizes</t>
  </si>
  <si>
    <t>PD022</t>
  </si>
  <si>
    <t>Men's Straight Fit Jeans – Vintage Grey Wash</t>
  </si>
  <si>
    <t>Vintage Grey Wash</t>
  </si>
  <si>
    <t>Heavy Denim</t>
  </si>
  <si>
    <t>Clean Finish</t>
  </si>
  <si>
    <t>28×3, 30×3, 32×4, 34×4, 36×3, 38×3</t>
  </si>
  <si>
    <t>Straight Fit, Vintage Grey Wash, Heavy Denim, Clean Finish</t>
  </si>
  <si>
    <t>adult male, clean, finish, grey, heavy, men, straight, vintage</t>
  </si>
  <si>
    <t>PD022_Adult_Male.png</t>
  </si>
  <si>
    <t>https://res.cloudinary.com/sdquiuat/image/upload/PD022_Adult_Male.png</t>
  </si>
  <si>
    <t>PD023</t>
  </si>
  <si>
    <t>Men's Cargo Fit Jeans – Dark Indigo</t>
  </si>
  <si>
    <t>Cargo Fit</t>
  </si>
  <si>
    <t>Dark Indigo</t>
  </si>
  <si>
    <t>Premium Denim</t>
  </si>
  <si>
    <t>Utility Pockets</t>
  </si>
  <si>
    <t>28×3, 30×3, 32×3, 34×3, 36×3, 38×3</t>
  </si>
  <si>
    <t>Cargo Fit, Dark Indigo, Utility Pockets, Premium Denim</t>
  </si>
  <si>
    <t>adult male, cargo, dark, indigo, men, pockets, utility</t>
  </si>
  <si>
    <t>PD023_Adult_Male.png</t>
  </si>
  <si>
    <t>https://res.cloudinary.com/sdquiuat/image/upload/PD023_Adult_Male.png</t>
  </si>
  <si>
    <t>PD024</t>
  </si>
  <si>
    <t>Women's Cropped Straight Fit Jeans – Sky Blue Wash</t>
  </si>
  <si>
    <t>Cropped Straight Fit</t>
  </si>
  <si>
    <t>Sky Blue Wash</t>
  </si>
  <si>
    <t>Stretch Denim</t>
  </si>
  <si>
    <t>26×4, 28×4, 30×5, 32×5, 34×4, 36×4</t>
  </si>
  <si>
    <t>Cropped Straight Fit, Sky Blue Wash, Stretch Denim, High Waist</t>
  </si>
  <si>
    <t>adult female, blue, cropped, high, sky, straight, stretch, waist, women</t>
  </si>
  <si>
    <t>PD024_Adult_Female.png</t>
  </si>
  <si>
    <t>https://res.cloudinary.com/sdquiuat/image/upload/PD024_Adult_Female.png</t>
  </si>
  <si>
    <t>PD025</t>
  </si>
  <si>
    <t>Women's Bootcut Fit Jeans – Medium Blue Wash</t>
  </si>
  <si>
    <t>Bootcut Fit</t>
  </si>
  <si>
    <t>Medium Blue Wash</t>
  </si>
  <si>
    <t>Classic Denim</t>
  </si>
  <si>
    <t>Soft Finish</t>
  </si>
  <si>
    <t>26×4, 28×5, 30×5, 32×4, 34×4</t>
  </si>
  <si>
    <t>Bootcut Fit, Medium Blue Wash, Soft Finish, Classic Denim</t>
  </si>
  <si>
    <t>adult female, blue, bootcut, classic, finish, medium, women</t>
  </si>
  <si>
    <t>PD025_Adult_Female.png</t>
  </si>
  <si>
    <t>https://res.cloudinary.com/sdquiuat/image/upload/PD025_Adult_Female.png</t>
  </si>
  <si>
    <t>PD026</t>
  </si>
  <si>
    <t>Women's Baggy Fit Jeans – Acid Wash</t>
  </si>
  <si>
    <t>Baggy Fit</t>
  </si>
  <si>
    <t>Acid Wash</t>
  </si>
  <si>
    <t>Fashion Denim</t>
  </si>
  <si>
    <t>Premium Finish</t>
  </si>
  <si>
    <t>26×2, 28×3, 30×3, 32×3, 34×3, 36×2</t>
  </si>
  <si>
    <t>Low Stock</t>
  </si>
  <si>
    <t>Baggy Fit, Acid Wash, Fashion Denim, Premium Finish</t>
  </si>
  <si>
    <t>acid, adult female, baggy, fashion, finish, women</t>
  </si>
  <si>
    <t>PD026_Adult_Female.png</t>
  </si>
  <si>
    <t>https://res.cloudinary.com/sdquiuat/image/upload/PD026_Adult_Female.png</t>
  </si>
  <si>
    <t>PD027</t>
  </si>
  <si>
    <t>Boys' Jogger Cargo Fit Jeans – Dark Wash</t>
  </si>
  <si>
    <t>Jogger Cargo Fit</t>
  </si>
  <si>
    <t>Dark Wash</t>
  </si>
  <si>
    <t>Soft Kids Denim</t>
  </si>
  <si>
    <t>Elastic Hem</t>
  </si>
  <si>
    <t>Jogger Cargo Fit, Dark Wash, Elastic Hem, Soft Kids Denim</t>
  </si>
  <si>
    <t>boys kids, cargo, dark, elastic, hem, jogger, kids, kids boy</t>
  </si>
  <si>
    <t>PD027_Kids_Boy.png</t>
  </si>
  <si>
    <t>https://res.cloudinary.com/sdquiuat/image/upload/PD027_Kids_Boy.png</t>
  </si>
  <si>
    <t>PD028</t>
  </si>
  <si>
    <t>Boys' Regular Fit Jeans – Light Wash</t>
  </si>
  <si>
    <t>Light Wash</t>
  </si>
  <si>
    <t>Flexible Kids Denim</t>
  </si>
  <si>
    <t>Sport Print</t>
  </si>
  <si>
    <t>5Y×5, 7Y×6, 9Y×6, 11Y×6, 13Y×5</t>
  </si>
  <si>
    <t>Regular Fit, Light Wash, Sport Print, Flexible Kids Denim</t>
  </si>
  <si>
    <t>boys kids, flexible, kids, kids boy, light, print, regular, sport</t>
  </si>
  <si>
    <t>PD028_Kids_Boy.png</t>
  </si>
  <si>
    <t>https://res.cloudinary.com/sdquiuat/image/upload/PD028_Kids_Boy.png</t>
  </si>
  <si>
    <t>PD029</t>
  </si>
  <si>
    <t>Girls' Jeggings – Pastel Blue Wash</t>
  </si>
  <si>
    <t>Jegging Fit</t>
  </si>
  <si>
    <t>Pastel Blue Wash</t>
  </si>
  <si>
    <t>Stretch Kids Denim</t>
  </si>
  <si>
    <t>Bow Embroidery</t>
  </si>
  <si>
    <t>3–12 Years</t>
  </si>
  <si>
    <t>3Y×6, 5Y×7, 7Y×7, 9Y×6, 11Y×6</t>
  </si>
  <si>
    <t>Jegging Fit, Pastel Blue Wash, Bow Embroidery, Stretch Kids Denim</t>
  </si>
  <si>
    <t>blue, bow, embroidery, girls kids, jegging, kids, kids girl, pastel, stretch</t>
  </si>
  <si>
    <t>PD029_Kids_Girl.png</t>
  </si>
  <si>
    <t>https://res.cloudinary.com/sdquiuat/image/upload/PD029_Kids_Girl.png</t>
  </si>
  <si>
    <t>PD030</t>
  </si>
  <si>
    <t>Girls' Wide Leg Fit Jeans – Medium Blue Wash</t>
  </si>
  <si>
    <t>Wide Leg Fit</t>
  </si>
  <si>
    <t>Soft Premium Denim</t>
  </si>
  <si>
    <t>Daisy Patch</t>
  </si>
  <si>
    <t>4Y×5, 6Y×5, 8Y×5, 10Y×5, 12Y×4</t>
  </si>
  <si>
    <t>Wide Leg Fit, Medium Blue Wash, Daisy Patch, Soft Premium Denim</t>
  </si>
  <si>
    <t>blue, daisy, girls kids, kids girl, leg, medium, patch, wide</t>
  </si>
  <si>
    <t>PD030_Kids_Girl.png</t>
  </si>
  <si>
    <t>https://res.cloudinary.com/sdquiuat/image/upload/PD030_Kids_Girl.png</t>
  </si>
  <si>
    <t>PD031</t>
  </si>
  <si>
    <t>Men's Slim Taper Fit Jeans – Dark Rinse Wash</t>
  </si>
  <si>
    <t>Slim Taper Fit</t>
  </si>
  <si>
    <t>Dark Rinse Wash</t>
  </si>
  <si>
    <t>98% Cotton / 2% Elastane, Premium Stretch Denim</t>
  </si>
  <si>
    <t>Classic 5 Pocket, Subtle Whisker Fade</t>
  </si>
  <si>
    <t>28×5, 30×5, 32×6, 34×5, 36×5</t>
  </si>
  <si>
    <t>Slim Taper Fit, Dark Rinse Wash, 98% Cotton, 2% Elastane, Premium Stretch Denim</t>
  </si>
  <si>
    <t>adult male, classic, dark, fade, men, pocket, rinse, slim, stretch, subtle, taper, whisker</t>
  </si>
  <si>
    <t>PD031_Adult_Male.png</t>
  </si>
  <si>
    <t>https://res.cloudinary.com/sdquiuat/image/upload/PD031_Adult_Male.png</t>
  </si>
  <si>
    <t>PD032</t>
  </si>
  <si>
    <t>Men's Relaxed Straight Fit Jeans – Light Stone Wash</t>
  </si>
  <si>
    <t>Relaxed Straight Fit</t>
  </si>
  <si>
    <t>Light Stone Wash</t>
  </si>
  <si>
    <t>Durable Denim</t>
  </si>
  <si>
    <t>Soft Handfeel</t>
  </si>
  <si>
    <t>28×3, 30×4, 32×4, 34×4, 36×4, 38×3</t>
  </si>
  <si>
    <t>Relaxed Straight Fit, Light Stone Wash, Soft Handfeel, Durable Denim</t>
  </si>
  <si>
    <t>adult male, durable, handfeel, light, men, relaxed, stone, straight</t>
  </si>
  <si>
    <t>PD032_Adult_Male.png</t>
  </si>
  <si>
    <t>https://res.cloudinary.com/sdquiuat/image/upload/PD032_Adult_Male.png</t>
  </si>
  <si>
    <t>PD033</t>
  </si>
  <si>
    <t>Men's Biker Fit Jeans – Black Wash</t>
  </si>
  <si>
    <t>Biker Fit</t>
  </si>
  <si>
    <t>Black Wash</t>
  </si>
  <si>
    <t>Premium Fashion Denim</t>
  </si>
  <si>
    <t>Panel Stitching</t>
  </si>
  <si>
    <t>28×3, 30×4, 32×4, 34×4, 36×3</t>
  </si>
  <si>
    <t>Biker Fit, Black Wash, Panel Stitching, Premium Fashion Denim</t>
  </si>
  <si>
    <t>adult male, biker, black, fashion, men, panel, stitching</t>
  </si>
  <si>
    <t>PD033_Adult_Male.png</t>
  </si>
  <si>
    <t>https://res.cloudinary.com/sdquiuat/image/upload/PD033_Adult_Male.png</t>
  </si>
  <si>
    <t>PD034</t>
  </si>
  <si>
    <t>Women's High Waist Mom Fit Jeans – Medium Blue Wash</t>
  </si>
  <si>
    <t>High Waist Mom Fit</t>
  </si>
  <si>
    <t>Soft Washed Denim</t>
  </si>
  <si>
    <t>Rolled Hem</t>
  </si>
  <si>
    <t>26×4, 28×4, 30×4, 32×4, 34×4, 36×4</t>
  </si>
  <si>
    <t>High Waist Mom Fit, Medium Blue Wash, Rolled Hem, Soft Washed Denim</t>
  </si>
  <si>
    <t>adult female, blue, hem, high, medium, mom, rolled, waist, washed, women</t>
  </si>
  <si>
    <t>PD034_Adult_Female.png</t>
  </si>
  <si>
    <t>https://res.cloudinary.com/sdquiuat/image/upload/PD034_Adult_Female.png</t>
  </si>
  <si>
    <t>PD035</t>
  </si>
  <si>
    <t>Women's Flare Fit Jeans – Dark Indigo Wash</t>
  </si>
  <si>
    <t>Dark Indigo Wash</t>
  </si>
  <si>
    <t>Stretch Fashion Denim</t>
  </si>
  <si>
    <t>High Rise</t>
  </si>
  <si>
    <t>26×4, 28×4, 30×4, 32×4, 34×4</t>
  </si>
  <si>
    <t>Flare Fit, Dark Indigo Wash, Stretch Fashion Denim, High Rise</t>
  </si>
  <si>
    <t>adult female, dark, fashion, flare, high, indigo, rise, stretch, women</t>
  </si>
  <si>
    <t>PD035_Adult_Female.png</t>
  </si>
  <si>
    <t>https://res.cloudinary.com/sdquiuat/image/upload/PD035_Adult_Female.png</t>
  </si>
  <si>
    <t>PD036</t>
  </si>
  <si>
    <t>Women's Straight Ankle Fit Jeans – Grey Wash</t>
  </si>
  <si>
    <t>Straight Ankle Fit</t>
  </si>
  <si>
    <t>Grey Wash</t>
  </si>
  <si>
    <t>Raw Hem</t>
  </si>
  <si>
    <t>26×3, 28×3, 30×3, 32×3, 34×3, 36×3</t>
  </si>
  <si>
    <t>Straight Ankle Fit, Grey Wash, Raw Hem, Premium Denim</t>
  </si>
  <si>
    <t>adult female, ankle, grey, hem, raw, straight, women</t>
  </si>
  <si>
    <t>PD036_Adult_Female.png</t>
  </si>
  <si>
    <t>https://res.cloudinary.com/sdquiuat/image/upload/PD036_Adult_Female.png</t>
  </si>
  <si>
    <t>PD037</t>
  </si>
  <si>
    <t>Boys' Jogger Cargo Fit Jeans – Mid Blue Wash</t>
  </si>
  <si>
    <t>Elastic Waist</t>
  </si>
  <si>
    <t>Jogger Cargo Fit, Mid Blue Wash, Elastic Waist, Soft Kids Denim</t>
  </si>
  <si>
    <t>blue, boys kids, cargo, elastic, jogger, kids, kids boy, mid, waist</t>
  </si>
  <si>
    <t>PD037_Kids_Boy.png</t>
  </si>
  <si>
    <t>https://res.cloudinary.com/sdquiuat/image/upload/PD037_Kids_Boy.png</t>
  </si>
  <si>
    <t>PD038</t>
  </si>
  <si>
    <t>Boys' Regular Fit Jeans – Dark Blue Wash</t>
  </si>
  <si>
    <t>Dark Blue Wash</t>
  </si>
  <si>
    <t>Durable Kids Denim (100% Cotton)</t>
  </si>
  <si>
    <t>Contrast Patch Pocket, Embroidered Badge</t>
  </si>
  <si>
    <t>Regular Fit, Dark Blue Wash, Contrast Patch Pocket, Embroidered Badge</t>
  </si>
  <si>
    <t>badge, blue, boys kids, contrast, dark, durable, embroidered, kids, kids boy, patch, pocket, regular</t>
  </si>
  <si>
    <t>PD038_Kids_Boy.png</t>
  </si>
  <si>
    <t>https://res.cloudinary.com/sdquiuat/image/upload/PD038_Kids_Boy.png</t>
  </si>
  <si>
    <t>Fabric, Sizes</t>
  </si>
  <si>
    <t>PD039</t>
  </si>
  <si>
    <t>Girls' Skinny Jeggings – Light Blue Wash</t>
  </si>
  <si>
    <t>Skinny Jegging Fit</t>
  </si>
  <si>
    <t>Butterfly Embroidery</t>
  </si>
  <si>
    <t>Skinny Jegging Fit, Light Blue Wash, Butterfly Embroidery, Stretch Kids Denim</t>
  </si>
  <si>
    <t>blue, butterfly, embroidery, girls kids, jegging, kids, kids girl, light, skinny, stretch</t>
  </si>
  <si>
    <t>PD039_Kids_Girl.png</t>
  </si>
  <si>
    <t>https://res.cloudinary.com/sdquiuat/image/upload/PD039_Kids_Girl.png</t>
  </si>
  <si>
    <t>PD040</t>
  </si>
  <si>
    <t>Girls' Wide Leg Fit Jeans – Medium Wash</t>
  </si>
  <si>
    <t>Medium Wash</t>
  </si>
  <si>
    <t>Soft Kids Denim (98% Cotton, 2% Spandex)</t>
  </si>
  <si>
    <t>Floral Patch Pockets, Frill Detail</t>
  </si>
  <si>
    <t>Wide Leg Fit, Medium Wash, Floral Patch Pockets, Frill Detail</t>
  </si>
  <si>
    <t>floral, frill, girls kids, kids, kids girl, leg, medium, patch, pockets, stretch, wide</t>
  </si>
  <si>
    <t>PD040_Kids_Girl.png</t>
  </si>
  <si>
    <t>https://res.cloudinary.com/sdquiuat/image/upload/PD040_Kids_Girl.png</t>
  </si>
  <si>
    <t>PD041</t>
  </si>
  <si>
    <t>Men's Regular Slim Fit Jeans – Mid Blue Faded Wash</t>
  </si>
  <si>
    <t>Regular Slim Fit</t>
  </si>
  <si>
    <t>Mid Blue Faded Wash</t>
  </si>
  <si>
    <t>Comfort Stretch Denim</t>
  </si>
  <si>
    <t>Classic 5 Pocket</t>
  </si>
  <si>
    <t>Regular Slim Fit, Mid Blue Faded Wash, Comfort Stretch Denim, Classic 5 Pocket</t>
  </si>
  <si>
    <t>adult male, blue, classic, comfort, faded, men, mid, pocket, regular, slim, stretch</t>
  </si>
  <si>
    <t>PD041_Adult_Male.png</t>
  </si>
  <si>
    <t>https://res.cloudinary.com/sdquiuat/image/upload/PD041_Adult_Male.png</t>
  </si>
  <si>
    <t>PD042</t>
  </si>
  <si>
    <t>Heavyweight Denim</t>
  </si>
  <si>
    <t>Straight Fit, Vintage Grey Wash, Heavyweight Denim, Clean Finish</t>
  </si>
  <si>
    <t>adult male, clean, finish, grey, heavyweight, men, straight, vintage</t>
  </si>
  <si>
    <t>PD042_Adult_Male.png</t>
  </si>
  <si>
    <t>https://res.cloudinary.com/sdquiuat/image/upload/PD042_Adult_Male.png</t>
  </si>
  <si>
    <t>PD043</t>
  </si>
  <si>
    <t>Men's Carpenter Cargo Fit Jeans – Dark Indigo Wash</t>
  </si>
  <si>
    <t>Carpenter Cargo Fit</t>
  </si>
  <si>
    <t>Premium Durable Denim</t>
  </si>
  <si>
    <t>Utility Pocket</t>
  </si>
  <si>
    <t>Carpenter Cargo Fit, Dark Indigo Wash, Utility Pocket, Premium Durable Denim</t>
  </si>
  <si>
    <t>adult male, cargo, carpenter, dark, durable, indigo, men, pocket, utility</t>
  </si>
  <si>
    <t>PD043_Adult_Male.png</t>
  </si>
  <si>
    <t>https://res.cloudinary.com/sdquiuat/image/upload/PD043_Adult_Male.png</t>
  </si>
  <si>
    <t>PD044</t>
  </si>
  <si>
    <t>Women's Ankle Skinny Fit Jeans – Black Wash</t>
  </si>
  <si>
    <t>Ankle Skinny Fit</t>
  </si>
  <si>
    <t>Soft Stretch Denim</t>
  </si>
  <si>
    <t>26×5, 28×5, 30×5, 32×5, 34×4</t>
  </si>
  <si>
    <t>Ankle Skinny Fit, Black Wash, High Waist, Soft Stretch Denim</t>
  </si>
  <si>
    <t>adult female, ankle, black, high, skinny, stretch, waist, women</t>
  </si>
  <si>
    <t>PD044_Adult_Female.png</t>
  </si>
  <si>
    <t>https://res.cloudinary.com/sdquiuat/image/upload/PD044_Adult_Female.png</t>
  </si>
  <si>
    <t>PD045</t>
  </si>
  <si>
    <t>Women's Cropped Wide Leg Fit Jeans – Light Blue Wash</t>
  </si>
  <si>
    <t>Cropped Wide Leg Fit</t>
  </si>
  <si>
    <t>26×3, 28×4, 30×4, 32×4, 34×4, 36×3</t>
  </si>
  <si>
    <t>Cropped Wide Leg Fit, Light Blue Wash, Raw Hem, Premium Fashion Denim</t>
  </si>
  <si>
    <t>adult female, blue, cropped, fashion, hem, leg, light, raw, wide, women</t>
  </si>
  <si>
    <t>PD045_Adult_Female.png</t>
  </si>
  <si>
    <t>https://res.cloudinary.com/sdquiuat/image/upload/PD045_Adult_Female.png</t>
  </si>
  <si>
    <t>PD046</t>
  </si>
  <si>
    <t>Women's Bootcut Fit Jeans – Vintage Medium Blue Wash</t>
  </si>
  <si>
    <t>Vintage Medium Blue Wash</t>
  </si>
  <si>
    <t>Flexible Stretch Denim</t>
  </si>
  <si>
    <t>26×3, 28×4, 30×4, 32×4, 34×3</t>
  </si>
  <si>
    <t>Bootcut Fit, Vintage Medium Blue Wash, Flexible Stretch Denim, Classic 5 Pocket</t>
  </si>
  <si>
    <t>adult female, blue, bootcut, classic, flexible, medium, pocket, stretch, vintage, women</t>
  </si>
  <si>
    <t>PD046_Adult_Female.png</t>
  </si>
  <si>
    <t>https://res.cloudinary.com/sdquiuat/image/upload/PD046_Adult_Female.png</t>
  </si>
  <si>
    <t>PD047</t>
  </si>
  <si>
    <t>Boys' Cargo Jogger Fit Jeans – Dark Wash</t>
  </si>
  <si>
    <t>Cargo Jogger Fit</t>
  </si>
  <si>
    <t>Elastic Hem, Utility Pockets</t>
  </si>
  <si>
    <t>Cargo Jogger Fit, Dark Wash, Elastic Hem, Utility Pockets, Soft Kids Denim</t>
  </si>
  <si>
    <t>boys kids, cargo, dark, elastic, hem, jogger, kids, kids boy, pockets, utility</t>
  </si>
  <si>
    <t>PD047_Kids_Boy.png</t>
  </si>
  <si>
    <t>https://res.cloudinary.com/sdquiuat/image/upload/PD047_Kids_Boy.png</t>
  </si>
  <si>
    <t>PD048</t>
  </si>
  <si>
    <t>Boys' Regular Fit Jeans – Light Blue Wash</t>
  </si>
  <si>
    <t>Sport Side Print</t>
  </si>
  <si>
    <t>Regular Fit, Light Blue Wash, Sport Side Print, Flexible Kids Denim</t>
  </si>
  <si>
    <t>blue, boys kids, flexible, kids, kids boy, light, print, regular, side, sport</t>
  </si>
  <si>
    <t>PD048_Kids_Boy.png</t>
  </si>
  <si>
    <t>https://res.cloudinary.com/sdquiuat/image/upload/PD048_Kids_Boy.png</t>
  </si>
  <si>
    <t>PD049</t>
  </si>
  <si>
    <t>Girls' Skinny Jeggings – Pastel Blue Wash</t>
  </si>
  <si>
    <t>Heart Embroidery</t>
  </si>
  <si>
    <t>Skinny Jegging Fit, Pastel Blue Wash, Heart Embroidery, Stretch Kids Denim</t>
  </si>
  <si>
    <t>blue, embroidery, girls kids, heart, jegging, kids, kids girl, pastel, skinny, stretch</t>
  </si>
  <si>
    <t>PD049_Kids_Girl.png</t>
  </si>
  <si>
    <t>https://res.cloudinary.com/sdquiuat/image/upload/PD049_Kids_Girl.png</t>
  </si>
  <si>
    <t>PD050</t>
  </si>
  <si>
    <t>Floral Patch Pockets, Ruffle Hem Detail</t>
  </si>
  <si>
    <t>Wide Leg Fit, Medium Blue Wash, Floral Patch Pockets, Ruffle Hem Detail</t>
  </si>
  <si>
    <t>blue, floral, girls kids, hem, kids, kids girl, leg, medium, patch, pockets, ruffle, stretch, wide</t>
  </si>
  <si>
    <t>PD050_Kids_Girl.png</t>
  </si>
  <si>
    <t>https://res.cloudinary.com/sdquiuat/image/upload/PD050_Kids_Girl.png</t>
  </si>
  <si>
    <t>PD051</t>
  </si>
  <si>
    <t>PD051_Adult_Male.png</t>
  </si>
  <si>
    <t>https://res.cloudinary.com/sdquiuat/image/upload/PD051_Adult_Male.png</t>
  </si>
  <si>
    <t>PD052</t>
  </si>
  <si>
    <t>PD052_Adult_Male.png</t>
  </si>
  <si>
    <t>https://res.cloudinary.com/sdquiuat/image/upload/PD052_Adult_Male.png</t>
  </si>
  <si>
    <t>PD053</t>
  </si>
  <si>
    <t>Carpenter Cargo Fit, Dark Indigo Wash, Utility Pockets, Premium Durable Denim</t>
  </si>
  <si>
    <t>adult male, cargo, carpenter, dark, durable, indigo, men, pockets, utility</t>
  </si>
  <si>
    <t>PD053_Adult_Male.png</t>
  </si>
  <si>
    <t>https://res.cloudinary.com/sdquiuat/image/upload/PD053_Adult_Male.png</t>
  </si>
  <si>
    <t>PD054</t>
  </si>
  <si>
    <t>PD054_Adult_Female.png</t>
  </si>
  <si>
    <t>https://res.cloudinary.com/sdquiuat/image/upload/PD054_Adult_Female.png</t>
  </si>
  <si>
    <t>PD055</t>
  </si>
  <si>
    <t>PD055_Adult_Female.png</t>
  </si>
  <si>
    <t>https://res.cloudinary.com/sdquiuat/image/upload/PD055_Adult_Female.png</t>
  </si>
  <si>
    <t>PD056</t>
  </si>
  <si>
    <t>PD056_Adult_Female.png</t>
  </si>
  <si>
    <t>https://res.cloudinary.com/sdquiuat/image/upload/PD056_Adult_Female.png</t>
  </si>
  <si>
    <t>PD057</t>
  </si>
  <si>
    <t>PD057_Kids_Boy.png</t>
  </si>
  <si>
    <t>https://res.cloudinary.com/sdquiuat/image/upload/PD057_Kids_Boy.png</t>
  </si>
  <si>
    <t>PD058</t>
  </si>
  <si>
    <t>PD058_Kids_Boy.png</t>
  </si>
  <si>
    <t>https://res.cloudinary.com/sdquiuat/image/upload/PD058_Kids_Boy.png</t>
  </si>
  <si>
    <t>PD059</t>
  </si>
  <si>
    <t>PD059_Kids_Girl.png</t>
  </si>
  <si>
    <t>https://res.cloudinary.com/sdquiuat/image/upload/PD059_Kids_Girl.png</t>
  </si>
  <si>
    <t>PD060</t>
  </si>
  <si>
    <t>PD060_Kids_Girl.png</t>
  </si>
  <si>
    <t>https://res.cloudinary.com/sdquiuat/image/upload/PD060_Kids_Girl.png</t>
  </si>
  <si>
    <t>PD061</t>
  </si>
  <si>
    <t>Men's Tapered Carrot Fit Jeans – Medium Dark Enzyme Wash</t>
  </si>
  <si>
    <t>Tapered Carrot Fit</t>
  </si>
  <si>
    <t>Medium Dark Enzyme Wash</t>
  </si>
  <si>
    <t>Premium Stretch Denim</t>
  </si>
  <si>
    <t>Side Seam Panel Detail</t>
  </si>
  <si>
    <t>28×4, 30×5, 32×5, 34×4, 36×4</t>
  </si>
  <si>
    <t>Tapered Carrot Fit, Medium Dark Enzyme Wash, Side Seam Panel Detail, Premium Stretch Denim</t>
  </si>
  <si>
    <t>adult male, carrot, dark, enzyme, medium, men, panel, seam, side, stretch, tapered</t>
  </si>
  <si>
    <t>PD061_Adult_Male.png</t>
  </si>
  <si>
    <t>https://res.cloudinary.com/sdquiuat/image/upload/PD061_Adult_Male.png</t>
  </si>
  <si>
    <t>PD062</t>
  </si>
  <si>
    <t>Men's Straight Relaxed Fit Jeans – Charcoal Overdyed Wash</t>
  </si>
  <si>
    <t>Straight Relaxed Fit</t>
  </si>
  <si>
    <t>Charcoal Overdyed Wash</t>
  </si>
  <si>
    <t>Sturdy Heavyweight Denim</t>
  </si>
  <si>
    <t>Clean Hem</t>
  </si>
  <si>
    <t>Straight Relaxed Fit, Charcoal Overdyed Wash, Clean Hem, Sturdy Heavyweight Denim</t>
  </si>
  <si>
    <t>adult male, charcoal, clean, heavyweight, hem, men, overdyed, relaxed, straight, sturdy</t>
  </si>
  <si>
    <t>PD062_Adult_Male.png</t>
  </si>
  <si>
    <t>https://res.cloudinary.com/sdquiuat/image/upload/PD062_Adult_Male.png</t>
  </si>
  <si>
    <t>PD063</t>
  </si>
  <si>
    <t>Men's Slim Biker Fit Jeans – Smoked Blue Black Wash</t>
  </si>
  <si>
    <t>Slim Biker Fit</t>
  </si>
  <si>
    <t>Smoked Blue Black Wash</t>
  </si>
  <si>
    <t>Ribbed Knee Panels</t>
  </si>
  <si>
    <t>Slim Biker Fit, Smoked Blue Black Wash, Ribbed Knee Panels, Premium Fashion Denim</t>
  </si>
  <si>
    <t>adult male, biker, black, blue, fashion, knee, men, panels, ribbed, slim, smoked</t>
  </si>
  <si>
    <t>PD063_Adult_Male.png</t>
  </si>
  <si>
    <t>https://res.cloudinary.com/sdquiuat/image/upload/PD063_Adult_Male.png</t>
  </si>
  <si>
    <t>PD064</t>
  </si>
  <si>
    <t>Women's High Waist Mom Fit Jeans – Ice Blue Wash</t>
  </si>
  <si>
    <t>Ice Blue Wash</t>
  </si>
  <si>
    <t>Pleated Waistband Detail</t>
  </si>
  <si>
    <t>High Waist Mom Fit, Ice Blue Wash, Pleated Waistband Detail, Soft Washed Denim</t>
  </si>
  <si>
    <t>adult female, blue, high, ice, mom, pleated, waist, waistband, washed, women</t>
  </si>
  <si>
    <t>PD064_Adult_Female.png</t>
  </si>
  <si>
    <t>https://res.cloudinary.com/sdquiuat/image/upload/PD064_Adult_Female.png</t>
  </si>
  <si>
    <t>PD065</t>
  </si>
  <si>
    <t>Women's Flare Fit Jeans – Deep Indigo Rinse</t>
  </si>
  <si>
    <t>Deep Indigo Rinse</t>
  </si>
  <si>
    <t>Premium Fashion Stretch Denim</t>
  </si>
  <si>
    <t>Front Seam Detail</t>
  </si>
  <si>
    <t>Flare Fit, Deep Indigo Rinse, Front Seam Detail, Premium Fashion Stretch Denim</t>
  </si>
  <si>
    <t>adult female, deep, fashion, flare, front, indigo, rinse, seam, stretch, women</t>
  </si>
  <si>
    <t>PD065_Adult_Female.png</t>
  </si>
  <si>
    <t>https://res.cloudinary.com/sdquiuat/image/upload/PD065_Adult_Female.png</t>
  </si>
  <si>
    <t>PD066</t>
  </si>
  <si>
    <t>Women's Straight Ankle Fit Jeans – Grey Blue Wash</t>
  </si>
  <si>
    <t>Grey Blue Wash</t>
  </si>
  <si>
    <t>Frayed Hem Edge</t>
  </si>
  <si>
    <t>Straight Ankle Fit, Grey Blue Wash, Frayed Hem Edge, Comfort Stretch Denim</t>
  </si>
  <si>
    <t>adult female, ankle, blue, comfort, edge, frayed, grey, hem, straight, stretch, women</t>
  </si>
  <si>
    <t>PD066_Adult_Female.png</t>
  </si>
  <si>
    <t>https://res.cloudinary.com/sdquiuat/image/upload/PD066_Adult_Female.png</t>
  </si>
  <si>
    <t>PD067</t>
  </si>
  <si>
    <t>Boys' Utility Cargo Jogger Fit Jeans – Mid Blue Wash</t>
  </si>
  <si>
    <t>Utility Cargo Jogger Fit</t>
  </si>
  <si>
    <t>Drawcord Waist</t>
  </si>
  <si>
    <t>Utility Cargo Jogger Fit, Mid Blue Wash, Drawcord Waist, Soft Kids Denim</t>
  </si>
  <si>
    <t>blue, boys kids, cargo, drawcord, jogger, kids, kids boy, mid, utility, waist</t>
  </si>
  <si>
    <t>PD067_Kids_Boy.png</t>
  </si>
  <si>
    <t>https://res.cloudinary.com/sdquiuat/image/upload/PD067_Kids_Boy.png</t>
  </si>
  <si>
    <t>PD068</t>
  </si>
  <si>
    <t>Boys' Regular Fit Jeans – Faded Light Wash</t>
  </si>
  <si>
    <t>Faded Light Wash</t>
  </si>
  <si>
    <t>Sport Side Tape</t>
  </si>
  <si>
    <t>Regular Fit, Faded Light Wash, Sport Side Tape, Flexible Kids Denim</t>
  </si>
  <si>
    <t>boys kids, faded, flexible, kids, kids boy, light, regular, side, sport, tape</t>
  </si>
  <si>
    <t>PD068_Kids_Boy.png</t>
  </si>
  <si>
    <t>https://res.cloudinary.com/sdquiuat/image/upload/PD068_Kids_Boy.png</t>
  </si>
  <si>
    <t>PD069</t>
  </si>
  <si>
    <t>Girls' Skinny Jeggings – Sky Blue Wash</t>
  </si>
  <si>
    <t>Star Embroidery</t>
  </si>
  <si>
    <t>Skinny Jegging Fit, Sky Blue Wash, Star Embroidery, Stretch Kids Denim</t>
  </si>
  <si>
    <t>blue, embroidery, girls kids, jegging, kids, kids girl, skinny, sky, star, stretch</t>
  </si>
  <si>
    <t>PD069_Kids_Girl.png</t>
  </si>
  <si>
    <t>https://res.cloudinary.com/sdquiuat/image/upload/PD069_Kids_Girl.png</t>
  </si>
  <si>
    <t>PD070</t>
  </si>
  <si>
    <t>Daisy Patch Pockets</t>
  </si>
  <si>
    <t>Wide Leg Fit, Medium Wash, Daisy Patch Pockets, Soft Kids Denim</t>
  </si>
  <si>
    <t>daisy, girls kids, kids, kids girl, leg, medium, patch, pockets, wide</t>
  </si>
  <si>
    <t>PD070_Kids_Girl.png</t>
  </si>
  <si>
    <t>https://res.cloudinary.com/sdquiuat/image/upload/PD070_Kids_Girl.png</t>
  </si>
  <si>
    <t>PD071</t>
  </si>
  <si>
    <t>Men's Tapered Relaxed Fit Jeans – Mid Indigo Sandblasted Wash</t>
  </si>
  <si>
    <t>Tapered Relaxed Fit</t>
  </si>
  <si>
    <t>Mid Indigo Sandblasted Wash</t>
  </si>
  <si>
    <t>Side Seam Piping</t>
  </si>
  <si>
    <t>Tapered Relaxed Fit, Mid Indigo Sandblasted Wash, Side Seam Piping, Premium Stretch Denim</t>
  </si>
  <si>
    <t>adult male, indigo, men, mid, piping, relaxed, sandblasted, seam, side, stretch, tapered</t>
  </si>
  <si>
    <t>PD071_Adult_Male.png</t>
  </si>
  <si>
    <t>https://res.cloudinary.com/sdquiuat/image/upload/PD071_Adult_Male.png</t>
  </si>
  <si>
    <t>PD072</t>
  </si>
  <si>
    <t>Men's Straight Relaxed Fit Jeans – Washed Charcoal Black</t>
  </si>
  <si>
    <t>Washed Charcoal Black</t>
  </si>
  <si>
    <t>Sturdy Heavy Denim</t>
  </si>
  <si>
    <t>Subtle Whisker Fade</t>
  </si>
  <si>
    <t>Straight Relaxed Fit, Washed Charcoal Black, Subtle Whisker Fade, Sturdy Heavy Denim</t>
  </si>
  <si>
    <t>adult male, black, charcoal, fade, heavy, men, relaxed, straight, sturdy, subtle, washed, whisker</t>
  </si>
  <si>
    <t>PD072_Adult_Male.png</t>
  </si>
  <si>
    <t>https://res.cloudinary.com/sdquiuat/image/upload/PD072_Adult_Male.png</t>
  </si>
  <si>
    <t>PD073</t>
  </si>
  <si>
    <t>Men's Double Knee Workwear Fit Jeans – Deep Indigo Wash</t>
  </si>
  <si>
    <t>Double Knee Workwear Fit</t>
  </si>
  <si>
    <t>Deep Indigo Wash</t>
  </si>
  <si>
    <t>Reinforced Knee Panels</t>
  </si>
  <si>
    <t>Double Knee Workwear Fit, Deep Indigo Wash, Reinforced Knee Panels, Premium Durable Denim</t>
  </si>
  <si>
    <t>adult male, deep, double, durable, indigo, knee, men, panels, reinforced, workwear</t>
  </si>
  <si>
    <t>PD073_Adult_Male.png</t>
  </si>
  <si>
    <t>https://res.cloudinary.com/sdquiuat/image/upload/PD073_Adult_Male.png</t>
  </si>
  <si>
    <t>PD074</t>
  </si>
  <si>
    <t>Women's Paperbag Straight Fit Jeans – Sky Blue Wash</t>
  </si>
  <si>
    <t>Paperbag Straight Fit</t>
  </si>
  <si>
    <t>Soft Fashion Denim</t>
  </si>
  <si>
    <t>Gathered Waist Detail</t>
  </si>
  <si>
    <t>Paperbag Straight Fit, Sky Blue Wash, Gathered Waist Detail, Soft Fashion Denim</t>
  </si>
  <si>
    <t>adult female, blue, fashion, gathered, paperbag, sky, straight, waist, women</t>
  </si>
  <si>
    <t>PD074_Adult_Female.png</t>
  </si>
  <si>
    <t>https://res.cloudinary.com/sdquiuat/image/upload/PD074_Adult_Female.png</t>
  </si>
  <si>
    <t>PD075</t>
  </si>
  <si>
    <t>Women's Wide Leg Panel Fit Jeans – Dark Indigo Rinse</t>
  </si>
  <si>
    <t>Wide Leg Panel Fit</t>
  </si>
  <si>
    <t>Dark Indigo Rinse</t>
  </si>
  <si>
    <t>Contrast Front Seams</t>
  </si>
  <si>
    <t>26×3, 28×3, 30×4, 32×4, 34×3, 36×3</t>
  </si>
  <si>
    <t>Wide Leg Panel Fit, Dark Indigo Rinse, Contrast Front Seams, Premium Stretch Denim</t>
  </si>
  <si>
    <t>adult female, contrast, dark, front, indigo, leg, panel, rinse, seams, stretch, wide, women</t>
  </si>
  <si>
    <t>PD075_Adult_Female.png</t>
  </si>
  <si>
    <t>https://res.cloudinary.com/sdquiuat/image/upload/PD075_Adult_Female.png</t>
  </si>
  <si>
    <t>PD076</t>
  </si>
  <si>
    <t>Women's Cropped Kick Flare Fit Jeans – Medium Grey Blue Wash</t>
  </si>
  <si>
    <t>Cropped Kick Flare Fit</t>
  </si>
  <si>
    <t>Medium Grey Blue Wash</t>
  </si>
  <si>
    <t>Slit Hem Finish</t>
  </si>
  <si>
    <t>Cropped Kick Flare Fit, Medium Grey Blue Wash, Slit Hem Finish, Comfort Stretch Denim</t>
  </si>
  <si>
    <t>adult female, blue, comfort, cropped, finish, flare, grey, hem, kick, medium, slit, stretch, women</t>
  </si>
  <si>
    <t>PD076_Adult_Female.png</t>
  </si>
  <si>
    <t>https://res.cloudinary.com/sdquiuat/image/upload/PD076_Adult_Female.png</t>
  </si>
  <si>
    <t>PD077</t>
  </si>
  <si>
    <t>Boys' Cargo Jogger Fit Jeans – Mid Blue Wash</t>
  </si>
  <si>
    <t>Zipper Pocket Detail</t>
  </si>
  <si>
    <t>Cargo Jogger Fit, Mid Blue Wash, Zipper Pocket Detail, Soft Kids Denim</t>
  </si>
  <si>
    <t>blue, boys kids, cargo, jogger, kids, kids boy, mid, pocket, zipper</t>
  </si>
  <si>
    <t>PD077_Kids_Boy.png</t>
  </si>
  <si>
    <t>https://res.cloudinary.com/sdquiuat/image/upload/PD077_Kids_Boy.png</t>
  </si>
  <si>
    <t>PD078</t>
  </si>
  <si>
    <t>Flexible Kids Denim (98% Cotton, 2% Spandex)</t>
  </si>
  <si>
    <t>Athletic Side Tape, Number Patch Detail</t>
  </si>
  <si>
    <t>Regular Fit, Faded Light Wash, Athletic Side Tape, Number Patch Detail</t>
  </si>
  <si>
    <t>athletic, boys kids, faded, flexible, kids, kids boy, light, number, patch, regular, side, stretch, tape</t>
  </si>
  <si>
    <t>PD078_Kids_Boy.png</t>
  </si>
  <si>
    <t>https://res.cloudinary.com/sdquiuat/image/upload/PD078_Kids_Boy.png</t>
  </si>
  <si>
    <t>PD079</t>
  </si>
  <si>
    <t>Skinny Jegging Fit, Pastel Blue Wash, Butterfly Embroidery, Stretch Kids Denim</t>
  </si>
  <si>
    <t>blue, butterfly, embroidery, girls kids, jegging, kids, kids girl, pastel, skinny, stretch</t>
  </si>
  <si>
    <t>PD079_Kids_Girl.png</t>
  </si>
  <si>
    <t>https://res.cloudinary.com/sdquiuat/image/upload/PD079_Kids_Girl.png</t>
  </si>
  <si>
    <t>PD080</t>
  </si>
  <si>
    <t>Rainbow Patch Pockets, Ruffle Hem Detail</t>
  </si>
  <si>
    <t>Wide Leg Fit, Medium Blue Wash, Rainbow Patch Pockets, Ruffle Hem Detail</t>
  </si>
  <si>
    <t>blue, girls kids, hem, kids, kids girl, leg, medium, patch, pockets, rainbow, ruffle, stretch, wide</t>
  </si>
  <si>
    <t>PD080_Kids_Girl.png</t>
  </si>
  <si>
    <t>https://res.cloudinary.com/sdquiuat/image/upload/PD080_Kids_Girl.png</t>
  </si>
  <si>
    <t>PD081</t>
  </si>
  <si>
    <t>Men's Slim Tapered Fit Jeans – Medium Indigo Wash</t>
  </si>
  <si>
    <t>Slim Tapered Fit</t>
  </si>
  <si>
    <t>Medium Indigo Wash</t>
  </si>
  <si>
    <t>Diagonal Side Seam Detail</t>
  </si>
  <si>
    <t>Slim Tapered Fit, Medium Indigo Wash, Diagonal Side Seam Detail, Premium Stretch Denim</t>
  </si>
  <si>
    <t>adult male, diagonal, indigo, medium, men, seam, side, slim, stretch, tapered</t>
  </si>
  <si>
    <t>PD081_Adult_Male.png</t>
  </si>
  <si>
    <t>https://res.cloudinary.com/sdquiuat/image/upload/PD081_Adult_Male.png</t>
  </si>
  <si>
    <t>PD082</t>
  </si>
  <si>
    <t>Men's Straight Relaxed Fit Jeans – Charcoal Black Wash</t>
  </si>
  <si>
    <t>Charcoal Black Wash</t>
  </si>
  <si>
    <t>Heavy Durable Denim</t>
  </si>
  <si>
    <t>Straight Relaxed Fit, Charcoal Black Wash, Clean Finish, Heavy Durable Denim</t>
  </si>
  <si>
    <t>adult male, black, charcoal, clean, durable, finish, heavy, men, relaxed, straight</t>
  </si>
  <si>
    <t>PD082_Adult_Male.png</t>
  </si>
  <si>
    <t>https://res.cloudinary.com/sdquiuat/image/upload/PD082_Adult_Male.png</t>
  </si>
  <si>
    <t>PD083</t>
  </si>
  <si>
    <t>Men's Workwear Utility Fit Jeans – Deep Indigo Wash</t>
  </si>
  <si>
    <t>Workwear Utility Fit</t>
  </si>
  <si>
    <t>Reinforced Panel Detail</t>
  </si>
  <si>
    <t>Workwear Utility Fit, Deep Indigo Wash, Reinforced Panel Detail, Premium Durable Denim</t>
  </si>
  <si>
    <t>adult male, deep, durable, indigo, men, panel, reinforced, utility, workwear</t>
  </si>
  <si>
    <t>PD083_Adult_Male.png</t>
  </si>
  <si>
    <t>https://res.cloudinary.com/sdquiuat/image/upload/PD083_Adult_Male.png</t>
  </si>
  <si>
    <t>PD084</t>
  </si>
  <si>
    <t>Women's High Waist Mom Fit Jeans – Light Stone Wash</t>
  </si>
  <si>
    <t>Rolled Cuff Finish</t>
  </si>
  <si>
    <t>High Waist Mom Fit, Light Stone Wash, Rolled Cuff Finish, Soft Washed Denim</t>
  </si>
  <si>
    <t>adult female, cuff, finish, high, light, mom, rolled, stone, waist, washed, women</t>
  </si>
  <si>
    <t>PD084_Adult_Female.png</t>
  </si>
  <si>
    <t>https://res.cloudinary.com/sdquiuat/image/upload/PD084_Adult_Female.png</t>
  </si>
  <si>
    <t>PD085</t>
  </si>
  <si>
    <t>Women's Bootcut Stretch Fit Jeans – Deep Blue Rinse</t>
  </si>
  <si>
    <t>Bootcut Stretch Fit</t>
  </si>
  <si>
    <t>Deep Blue Rinse</t>
  </si>
  <si>
    <t>Classic Fashion Denim</t>
  </si>
  <si>
    <t>Bootcut Stretch Fit, Deep Blue Rinse, Clean Hem, Classic Fashion Denim</t>
  </si>
  <si>
    <t>adult female, blue, bootcut, classic, clean, deep, fashion, hem, rinse, stretch, women</t>
  </si>
  <si>
    <t>PD085_Adult_Female.png</t>
  </si>
  <si>
    <t>https://res.cloudinary.com/sdquiuat/image/upload/PD085_Adult_Female.png</t>
  </si>
  <si>
    <t>PD086</t>
  </si>
  <si>
    <t>Women's Wide Leg Crop Fit Jeans – Medium Blue Wash</t>
  </si>
  <si>
    <t>Wide Leg Crop Fit</t>
  </si>
  <si>
    <t>Premium Soft Denim</t>
  </si>
  <si>
    <t>Front Patch Pocket Detail</t>
  </si>
  <si>
    <t>Wide Leg Crop Fit, Medium Blue Wash, Front Patch Pocket Detail, Premium Soft Denim</t>
  </si>
  <si>
    <t>adult female, blue, crop, front, leg, medium, patch, pocket, wide, women</t>
  </si>
  <si>
    <t>PD086_Adult_Female.png</t>
  </si>
  <si>
    <t>https://res.cloudinary.com/sdquiuat/image/upload/PD086_Adult_Female.png</t>
  </si>
  <si>
    <t>PD087</t>
  </si>
  <si>
    <t>Boys' Cargo Jogger Fit Jeans – Mid Indigo Wash</t>
  </si>
  <si>
    <t>Mid Indigo Wash</t>
  </si>
  <si>
    <t>Cargo Jogger Fit, Mid Indigo Wash, Zipper Pocket Detail, Soft Kids Denim</t>
  </si>
  <si>
    <t>boys kids, cargo, indigo, jogger, kids, kids boy, mid, pocket, zipper</t>
  </si>
  <si>
    <t>PD087_Kids_Boy.png</t>
  </si>
  <si>
    <t>https://res.cloudinary.com/sdquiuat/image/upload/PD087_Kids_Boy.png</t>
  </si>
  <si>
    <t>PD088</t>
  </si>
  <si>
    <t>Side Tape Stripe, Varsity Number Patch</t>
  </si>
  <si>
    <t>Regular Fit, Light Blue Wash, Side Tape Stripe, Varsity Number Patch, Flexible Kids Denim</t>
  </si>
  <si>
    <t>blue, boys kids, flexible, kids, kids boy, light, number, patch, regular, side, stripe, tape, varsity</t>
  </si>
  <si>
    <t>PD088_Kids_Boy.png</t>
  </si>
  <si>
    <t>https://res.cloudinary.com/sdquiuat/image/upload/PD088_Kids_Boy.png</t>
  </si>
  <si>
    <t>PD089</t>
  </si>
  <si>
    <t>PD089_Kids_Girl.png</t>
  </si>
  <si>
    <t>https://res.cloudinary.com/sdquiuat/image/upload/PD089_Kids_Girl.png</t>
  </si>
  <si>
    <t>PD090</t>
  </si>
  <si>
    <t>PD090_Kids_Girl.png</t>
  </si>
  <si>
    <t>https://res.cloudinary.com/sdquiuat/image/upload/PD090_Kids_Girl.png</t>
  </si>
  <si>
    <t>PD091</t>
  </si>
  <si>
    <t>Men's Slim Tapered Fit Jeans – Mid Blue Stone Wash</t>
  </si>
  <si>
    <t>Mid Blue Stone Wash</t>
  </si>
  <si>
    <t>Angled Thigh Panel Detail</t>
  </si>
  <si>
    <t>Slim Tapered Fit, Mid Blue Stone Wash, Angled Thigh Panel Detail, Premium Stretch Denim</t>
  </si>
  <si>
    <t>adult male, angled, blue, men, mid, panel, slim, stone, stretch, tapered, thigh</t>
  </si>
  <si>
    <t>PD091_Adult_Male.png</t>
  </si>
  <si>
    <t>https://res.cloudinary.com/sdquiuat/image/upload/PD091_Adult_Male.png</t>
  </si>
  <si>
    <t>PD092</t>
  </si>
  <si>
    <t>Men's Straight Relaxed Fit Jeans – Washed Graphite Black</t>
  </si>
  <si>
    <t>Washed Graphite Black</t>
  </si>
  <si>
    <t>Clean Classic Finish</t>
  </si>
  <si>
    <t>Straight Relaxed Fit, Washed Graphite Black, Clean Classic Finish, Heavy Durable Denim</t>
  </si>
  <si>
    <t>adult male, black, classic, clean, durable, finish, graphite, heavy, men, relaxed, straight, washed</t>
  </si>
  <si>
    <t>PD092_Adult_Male.png</t>
  </si>
  <si>
    <t>https://res.cloudinary.com/sdquiuat/image/upload/PD092_Adult_Male.png</t>
  </si>
  <si>
    <t>PD093</t>
  </si>
  <si>
    <t>Men's Utility Cargo Fit Jeans – Dark Indigo Wash</t>
  </si>
  <si>
    <t>Utility Cargo Fit</t>
  </si>
  <si>
    <t>Premium Rugged Denim</t>
  </si>
  <si>
    <t>Side Flap Cargo Pockets</t>
  </si>
  <si>
    <t>Utility Cargo Fit, Dark Indigo Wash, Side Flap Cargo Pockets, Premium Rugged Denim</t>
  </si>
  <si>
    <t>adult male, cargo, dark, flap, indigo, men, pockets, rugged, side, utility</t>
  </si>
  <si>
    <t>PD093_Adult_Male.png</t>
  </si>
  <si>
    <t>https://res.cloudinary.com/sdquiuat/image/upload/PD093_Adult_Male.png</t>
  </si>
  <si>
    <t>PD094</t>
  </si>
  <si>
    <t>Women's High Rise Balloon Mom Fit Jeans – Light Sky Wash</t>
  </si>
  <si>
    <t>High Rise Balloon Mom Fit</t>
  </si>
  <si>
    <t>Light Sky Wash</t>
  </si>
  <si>
    <t>Pleated Waist Detail</t>
  </si>
  <si>
    <t>High Rise Balloon Mom Fit, Light Sky Wash, Pleated Waist Detail, Soft Washed Denim</t>
  </si>
  <si>
    <t>adult female, balloon, high, light, mom, pleated, rise, sky, waist, washed, women</t>
  </si>
  <si>
    <t>PD094_Adult_Female.png</t>
  </si>
  <si>
    <t>https://res.cloudinary.com/sdquiuat/image/upload/PD094_Adult_Female.png</t>
  </si>
  <si>
    <t>PD095</t>
  </si>
  <si>
    <t>Women's Bootcut Stretch Fit Jeans – Deep Indigo Rinse</t>
  </si>
  <si>
    <t>Fashion Comfort Denim</t>
  </si>
  <si>
    <t>Bootcut Stretch Fit, Deep Indigo Rinse, Front Seam Detail, Fashion Comfort Denim</t>
  </si>
  <si>
    <t>adult female, bootcut, comfort, deep, fashion, front, indigo, rinse, seam, stretch, women</t>
  </si>
  <si>
    <t>PD095_Adult_Female.png</t>
  </si>
  <si>
    <t>https://res.cloudinary.com/sdquiuat/image/upload/PD095_Adult_Female.png</t>
  </si>
  <si>
    <t>PD096</t>
  </si>
  <si>
    <t>PD096_Adult_Female.png</t>
  </si>
  <si>
    <t>https://res.cloudinary.com/sdquiuat/image/upload/PD096_Adult_Female.png</t>
  </si>
  <si>
    <t>PD097</t>
  </si>
  <si>
    <t>Boys' Cargo Jogger Fit Jeans – Vintage Blue Wash</t>
  </si>
  <si>
    <t>Vintage Blue Wash</t>
  </si>
  <si>
    <t>Contrast Strap Pocket</t>
  </si>
  <si>
    <t>Cargo Jogger Fit, Vintage Blue Wash, Contrast Strap Pocket, Soft Kids Denim</t>
  </si>
  <si>
    <t>blue, boys kids, cargo, contrast, jogger, kids, kids boy, pocket, strap, vintage</t>
  </si>
  <si>
    <t>PD097_Kids_Boy.png</t>
  </si>
  <si>
    <t>https://res.cloudinary.com/sdquiuat/image/upload/PD097_Kids_Boy.png</t>
  </si>
  <si>
    <t>PD098</t>
  </si>
  <si>
    <t>Boys' Regular Fit Jeans – Stone Light Wash</t>
  </si>
  <si>
    <t>Stone Light Wash</t>
  </si>
  <si>
    <t>Racing Side Stripe, Embroidered Star Patch</t>
  </si>
  <si>
    <t>Regular Fit, Stone Light Wash, Racing Side Stripe, Embroidered Star Patch, Flexible Kids Denim</t>
  </si>
  <si>
    <t>boys kids, embroidered, flexible, kids, kids boy, light, patch, racing, regular, side, star, stone, stripe</t>
  </si>
  <si>
    <t>PD098_Kids_Boy.png</t>
  </si>
  <si>
    <t>https://res.cloudinary.com/sdquiuat/image/upload/PD098_Kids_Boy.png</t>
  </si>
  <si>
    <t>PD099</t>
  </si>
  <si>
    <t>Girls' Slim Jeggings – Soft Ice Blue Wash</t>
  </si>
  <si>
    <t>Slim Jegging Fit</t>
  </si>
  <si>
    <t>Soft Ice Blue Wash</t>
  </si>
  <si>
    <t>Flower Vine Embroidery</t>
  </si>
  <si>
    <t>Slim Jegging Fit, Soft Ice Blue Wash, Flower Vine Embroidery, Stretch Kids Denim</t>
  </si>
  <si>
    <t>blue, embroidery, flower, girls kids, ice, jegging, kids, kids girl, slim, stretch, vine</t>
  </si>
  <si>
    <t>PD099_Kids_Girl.png</t>
  </si>
  <si>
    <t>https://res.cloudinary.com/sdquiuat/image/upload/PD099_Kids_Girl.png</t>
  </si>
  <si>
    <t>PD100</t>
  </si>
  <si>
    <t>Girls' Flare Wide Leg Fit Jeans – Blue Wash</t>
  </si>
  <si>
    <t>Flare Wide Leg Fit</t>
  </si>
  <si>
    <t>Blue Wash</t>
  </si>
  <si>
    <t>Stretch Kids Denim (98% Cotton, 2% Spandex)</t>
  </si>
  <si>
    <t>Heart Patch Pockets, Frill Hem Detail</t>
  </si>
  <si>
    <t>Flare Wide Leg Fit, Blue Wash, Heart Patch Pockets, Frill Hem Detail</t>
  </si>
  <si>
    <t>blue, flare, frill, girls kids, heart, hem, kids, kids girl, leg, patch, pockets, stretch, wide</t>
  </si>
  <si>
    <t>PD100_Kids_Girl.png</t>
  </si>
  <si>
    <t>https://res.cloudinary.com/sdquiuat/image/upload/PD100_Kids_Girl.png</t>
  </si>
  <si>
    <t>PD101</t>
  </si>
  <si>
    <t>Men's Slim Tapered Fit Jeans – Dark Indigo</t>
  </si>
  <si>
    <t>Distressed Knee Detail, Premium Stretch Denim</t>
  </si>
  <si>
    <t>Distressed Knee Detail, Dark Indigo Wash, Premium Stretch Denim</t>
  </si>
  <si>
    <t>adult male, dark, distressed, indigo, knee, men, slim, stretch, tapered</t>
  </si>
  <si>
    <t>PD101_Adult_Male.png</t>
  </si>
  <si>
    <t>https://res.cloudinary.com/sdquiuat/image/upload/PD101_Adult_Male.png</t>
  </si>
  <si>
    <t>PD102</t>
  </si>
  <si>
    <t>Men's Straight Fit Jeans – Graphite Black</t>
  </si>
  <si>
    <t>Graphite Black</t>
  </si>
  <si>
    <t>Heavy Non-Stretch Denim</t>
  </si>
  <si>
    <t>Durable Heavy Denim</t>
  </si>
  <si>
    <t>28×4, 30×4, 32×4, 34×4, 36×4, 38×4</t>
  </si>
  <si>
    <t>Clean Straight Fit, Graphite Black Wash, Durable Heavy Denim</t>
  </si>
  <si>
    <t>adult male, black, durable, graphite, heavy, men, non-stretch, straight, stretch</t>
  </si>
  <si>
    <t>PD102_Adult_Male.png</t>
  </si>
  <si>
    <t>https://res.cloudinary.com/sdquiuat/image/upload/PD102_Adult_Male.png</t>
  </si>
  <si>
    <t>PD103</t>
  </si>
  <si>
    <t>Men's Relaxed Fit Jeans – Light Blue</t>
  </si>
  <si>
    <t>Relaxed Fit</t>
  </si>
  <si>
    <t>Classic 5 Pocket, Light Vintage Fade</t>
  </si>
  <si>
    <t>Relaxed Fit, Light Vintage Wash, Comfort Stretch Denim</t>
  </si>
  <si>
    <t>adult male, blue, classic, comfort, fade, light, men, pocket, relaxed, stretch, vintage</t>
  </si>
  <si>
    <t>PD103_Adult_Male.png</t>
  </si>
  <si>
    <t>https://res.cloudinary.com/sdquiuat/image/upload/PD103_Adult_Male.png</t>
  </si>
  <si>
    <t>PD104</t>
  </si>
  <si>
    <t>Women's Wide Leg Fit Jeans – Ice Blue</t>
  </si>
  <si>
    <t>Ice Blue</t>
  </si>
  <si>
    <t>High-Waist Wide Leg, Premium Soft Stretch Denim</t>
  </si>
  <si>
    <t>High-Waist Wide Leg, Ice Blue Wash, Premium Soft Stretch Denim</t>
  </si>
  <si>
    <t>adult female, blue, high-waist, ice, leg, stretch, wide, women</t>
  </si>
  <si>
    <t>PD104_Adult_Female.png</t>
  </si>
  <si>
    <t>https://res.cloudinary.com/sdquiuat/image/upload/PD104_Adult_Female.png</t>
  </si>
  <si>
    <t>PD105</t>
  </si>
  <si>
    <t>Women's Flare Fit Jeans – Jet Black</t>
  </si>
  <si>
    <t>Jet Black</t>
  </si>
  <si>
    <t>Clean Fashion Finish</t>
  </si>
  <si>
    <t>High-Rise Flare Fit, Jet Black Wash, Clean Fashion Finish</t>
  </si>
  <si>
    <t>adult female, black, clean, fashion, finish, flare, jet, women</t>
  </si>
  <si>
    <t>PD105_Adult_Female.png</t>
  </si>
  <si>
    <t>https://res.cloudinary.com/sdquiuat/image/upload/PD105_Adult_Female.png</t>
  </si>
  <si>
    <t>PD106</t>
  </si>
  <si>
    <t>Subtle Distressed Detail</t>
  </si>
  <si>
    <t>Skinny Fit, Mid Blue Wash, Subtle Distressed Detail, Stretch Denim</t>
  </si>
  <si>
    <t>adult female, blue, distressed, mid, skinny, stretch, subtle, women</t>
  </si>
  <si>
    <t>PD106_Adult_Female.png</t>
  </si>
  <si>
    <t>https://res.cloudinary.com/sdquiuat/image/upload/PD106_Adult_Female.png</t>
  </si>
  <si>
    <t>PD107</t>
  </si>
  <si>
    <t>Boys' Cargo Fit Jeans – Dark Blue</t>
  </si>
  <si>
    <t>Utility Pocket Design</t>
  </si>
  <si>
    <t>4–14 Years</t>
  </si>
  <si>
    <t>4Y×5, 6Y×5, 8Y×5, 10Y×5, 12Y×5, 14Y×5</t>
  </si>
  <si>
    <t>Cargo Fit, Dark Blue Wash, Utility Pocket Design, Flexible Kids Denim</t>
  </si>
  <si>
    <t>blue, boys kids, cargo, dark, design, flexible, kids, kids boy, pocket, utility</t>
  </si>
  <si>
    <t>PD107_Kids_Boy.png</t>
  </si>
  <si>
    <t>https://res.cloudinary.com/sdquiuat/image/upload/PD107_Kids_Boy.png</t>
  </si>
  <si>
    <t>PD108</t>
  </si>
  <si>
    <t>Sport Patch Detail</t>
  </si>
  <si>
    <t>4Y×4, 6Y×5, 8Y×5, 10Y×5, 12Y×5, 14Y×4</t>
  </si>
  <si>
    <t>Regular Fit, Light Blue Wash, Sport Patch Detail, Stretch Kids Denim</t>
  </si>
  <si>
    <t>blue, boys kids, kids, kids boy, light, patch, regular, sport, stretch</t>
  </si>
  <si>
    <t>PD108_Kids_Boy.png</t>
  </si>
  <si>
    <t>https://res.cloudinary.com/sdquiuat/image/upload/PD108_Kids_Boy.png</t>
  </si>
  <si>
    <t>PD109</t>
  </si>
  <si>
    <t>Girls' Wide Leg Fit Jeans – Light Blue</t>
  </si>
  <si>
    <t>Floral Embroidery, Soft Kids Denim</t>
  </si>
  <si>
    <t>Wide Leg Fit, Light Blue Wash, Floral Embroidery, Soft Kids Denim</t>
  </si>
  <si>
    <t>blue, embroidery, floral, girls kids, kids, kids girl, leg, light, stretch, wide</t>
  </si>
  <si>
    <t>PD109_Kids_Girl.png</t>
  </si>
  <si>
    <t>https://res.cloudinary.com/sdquiuat/image/upload/PD109_Kids_Girl.png</t>
  </si>
  <si>
    <t>PD110</t>
  </si>
  <si>
    <t>Girls' Flared Fit Jeans – Dark Blue</t>
  </si>
  <si>
    <t>Flared Fit</t>
  </si>
  <si>
    <t>Heart Patch Detail</t>
  </si>
  <si>
    <t>4Y×4, 6Y×4, 8Y×4, 10Y×4, 12Y×4, 14Y×4</t>
  </si>
  <si>
    <t>Flared Fit, Dark Blue Wash, Heart Patch Detail, Stretch Kids Denim</t>
  </si>
  <si>
    <t>blue, dark, flared, girls kids, heart, kids, kids girl, patch, stretch</t>
  </si>
  <si>
    <t>PD110_Kids_Girl.png</t>
  </si>
  <si>
    <t>https://res.cloudinary.com/sdquiuat/image/upload/PD110_Kids_Girl.png</t>
  </si>
  <si>
    <t>PD111</t>
  </si>
  <si>
    <t>Men's Slim Fit Jeans – Light Indigo</t>
  </si>
  <si>
    <t>Light Indigo</t>
  </si>
  <si>
    <t>Heavy Distressed Knee Design, Tapered Leg</t>
  </si>
  <si>
    <t>Heavy Distressed Knee Design, Light Indigo Wash, Tapered Leg</t>
  </si>
  <si>
    <t>adult male, design, distressed, heavy, indigo, knee, leg, light, men, slim, stretch, tapered</t>
  </si>
  <si>
    <t>PD111_Adult_Male.png</t>
  </si>
  <si>
    <t>https://res.cloudinary.com/sdquiuat/image/upload/PD111_Adult_Male.png</t>
  </si>
  <si>
    <t>PD112</t>
  </si>
  <si>
    <t>Men's Straight Fit Jeans – Washed Black</t>
  </si>
  <si>
    <t>Clean Straight Cut, Reinforced Classic Pockets</t>
  </si>
  <si>
    <t>Clean Straight Cut, Washed Black Finish, Reinforced Classic Pockets</t>
  </si>
  <si>
    <t>adult male, black, classic, clean, cut, heavy, men, non-stretch, pockets, reinforced, straight, stretch, washed</t>
  </si>
  <si>
    <t>PD112_Adult_Male.png</t>
  </si>
  <si>
    <t>https://res.cloudinary.com/sdquiuat/image/upload/PD112_Adult_Male.png</t>
  </si>
  <si>
    <t>PD113</t>
  </si>
  <si>
    <t>Men's Cargo Fit Jeans – Mid Blue</t>
  </si>
  <si>
    <t>Utility Cargo Pockets, Relaxed Workwear Styling</t>
  </si>
  <si>
    <t>Utility Cargo Pockets, Mid Blue Wash, Relaxed Workwear Styling</t>
  </si>
  <si>
    <t>adult male, blue, cargo, comfort, men, mid, pockets, relaxed, stretch, styling, utility, workwear</t>
  </si>
  <si>
    <t>PD113_Adult_Male.png</t>
  </si>
  <si>
    <t>https://res.cloudinary.com/sdquiuat/image/upload/PD113_Adult_Male.png</t>
  </si>
  <si>
    <t>PD114</t>
  </si>
  <si>
    <t>Women's Wide Leg Fit Jeans – Light Blue</t>
  </si>
  <si>
    <t>High Waist Wide Leg, Distressed Knee Detail</t>
  </si>
  <si>
    <t>High Waist Wide Leg, Distressed Knee Detail, Soft Light Wash</t>
  </si>
  <si>
    <t>adult female, blue, distressed, high, knee, leg, light, stretch, waist, wide, women</t>
  </si>
  <si>
    <t>PD114_Adult_Female.png</t>
  </si>
  <si>
    <t>https://res.cloudinary.com/sdquiuat/image/upload/PD114_Adult_Female.png</t>
  </si>
  <si>
    <t>PD115</t>
  </si>
  <si>
    <t>Women's Flared Fit Jeans – Jet Black</t>
  </si>
  <si>
    <t>High Rise Flared Cut, Clean Minimal Finish</t>
  </si>
  <si>
    <t>High Rise Flared Cut, Jet Black Wash, Clean Minimal Finish</t>
  </si>
  <si>
    <t>adult female, black, clean, cut, fashion, finish, flared, high, jet, minimal, rise, women</t>
  </si>
  <si>
    <t>PD115_Adult_Female.png</t>
  </si>
  <si>
    <t>https://res.cloudinary.com/sdquiuat/image/upload/PD115_Adult_Female.png</t>
  </si>
  <si>
    <t>PD116</t>
  </si>
  <si>
    <t>Women's Flared Fit Jeans – Mid Blue</t>
  </si>
  <si>
    <t>Light Distressed Detail, Flexible Comfort Denim</t>
  </si>
  <si>
    <t>Mid Blue Flare, Light Distressed Detail, Flexible Comfort Denim</t>
  </si>
  <si>
    <t>adult female, blue, comfort, distressed, flared, flexible, light, mid, stretch, women</t>
  </si>
  <si>
    <t>PD116_Adult_Female.png</t>
  </si>
  <si>
    <t>https://res.cloudinary.com/sdquiuat/image/upload/PD116_Adult_Female.png</t>
  </si>
  <si>
    <t>PD117</t>
  </si>
  <si>
    <t>Sport Patch Design, Durable Everyday Kids Denim</t>
  </si>
  <si>
    <t>Sport Patch Design, Dark Blue Wash, Durable Everyday Kids Denim</t>
  </si>
  <si>
    <t>blue, boys kids, dark, design, durable, everyday, kids, kids boy, patch, regular, sport, stretch</t>
  </si>
  <si>
    <t>PD117_Kids_Boy.png</t>
  </si>
  <si>
    <t>https://res.cloudinary.com/sdquiuat/image/upload/PD117_Kids_Boy.png</t>
  </si>
  <si>
    <t>PD118</t>
  </si>
  <si>
    <t>Boys' Jogger Fit Jeans – Light Blue</t>
  </si>
  <si>
    <t>Jogger Fit</t>
  </si>
  <si>
    <t>Cargo Jogger Styling, Elastic Hem, Utility Pockets</t>
  </si>
  <si>
    <t>Cargo Jogger Styling, Light Blue Wash, Elastic Hem, Utility Pockets</t>
  </si>
  <si>
    <t>blue, boys kids, cargo, elastic, hem, jogger, kids, kids boy, light, pockets, stretch, styling, utility</t>
  </si>
  <si>
    <t>PD118_Kids_Boy.png</t>
  </si>
  <si>
    <t>https://res.cloudinary.com/sdquiuat/image/upload/PD118_Kids_Boy.png</t>
  </si>
  <si>
    <t>PD119</t>
  </si>
  <si>
    <t>Butterfly &amp; Flower Embroidery, Soft Wide Leg Cut</t>
  </si>
  <si>
    <t>Butterfly &amp; Flower Embroidery, Light Blue Wash, Soft Wide Leg Cut</t>
  </si>
  <si>
    <t>blue, butterfly, cut, embroidery, flower, girls kids, kids, kids girl, leg, light, stretch, wide</t>
  </si>
  <si>
    <t>PD119_Kids_Girl.png</t>
  </si>
  <si>
    <t>https://res.cloudinary.com/sdquiuat/image/upload/PD119_Kids_Girl.png</t>
  </si>
  <si>
    <t>PD120</t>
  </si>
  <si>
    <t>Heart Patch Design, Flared Leg with Fun Detail</t>
  </si>
  <si>
    <t>Heart Patch Design, Dark Blue Wash, Flared Leg with Fun Detail</t>
  </si>
  <si>
    <t>blue, dark, design, flared, fun, girls kids, heart, kids, kids girl, leg, patch, stretch</t>
  </si>
  <si>
    <t>PD120_Kids_Girl.png</t>
  </si>
  <si>
    <t>https://res.cloudinary.com/sdquiuat/image/upload/PD120_Kids_Girl.png</t>
  </si>
  <si>
    <t>AM-DJ-001</t>
  </si>
  <si>
    <t>Men's Slim Fit Jeans – Dark Indigo</t>
  </si>
  <si>
    <t>Whisker Wash</t>
  </si>
  <si>
    <t>Slim Fit, Dark Indigo, Whisker Wash, 98% Cotton 2% Elastane</t>
  </si>
  <si>
    <t>adult male, dark, indigo, men, slim, stretch, whisker</t>
  </si>
  <si>
    <t>AM-DJ-001_Adult_Male.png</t>
  </si>
  <si>
    <t>https://res.cloudinary.com/sdquiuat/image/upload/AM-DJ-001_Adult_Male.png</t>
  </si>
  <si>
    <t>AM-DJ-002</t>
  </si>
  <si>
    <t>Men's Straight Fit Jeans – Black Wash</t>
  </si>
  <si>
    <t>Durable Denim, Heavyweight Fabric</t>
  </si>
  <si>
    <t>Classic 5 Pocket, Clean Hem, Faded Black Look</t>
  </si>
  <si>
    <t>Straight Fit, Black Wash, Durable Denim, Heavyweight Fabric</t>
  </si>
  <si>
    <t>adult male, black, classic, clean, durable, fabric, faded, heavyweight, hem, look, men, pocket, straight</t>
  </si>
  <si>
    <t>AM-DJ-002_Adult_Male.png</t>
  </si>
  <si>
    <t>https://res.cloudinary.com/sdquiuat/image/upload/AM-DJ-002_Adult_Male.png</t>
  </si>
  <si>
    <t>AM-DJ-003</t>
  </si>
  <si>
    <t>Men's Relaxed Fit Jeans – Stone Wash</t>
  </si>
  <si>
    <t>Stone Wash, Vintage Blue</t>
  </si>
  <si>
    <t>Heavyweight Rigid Denim (100% Cotton)</t>
  </si>
  <si>
    <t>Reinforced Stitching</t>
  </si>
  <si>
    <t>Relaxed Fit, Stone Wash, Vintage Blue, Reinforced Stitching</t>
  </si>
  <si>
    <t>adult male, blue, heavyweight, men, reinforced, relaxed, rigid, stitching, stone, vintage</t>
  </si>
  <si>
    <t>AM-DJ-003_Adult_Male.png</t>
  </si>
  <si>
    <t>https://res.cloudinary.com/sdquiuat/image/upload/AM-DJ-003_Adult_Male.png</t>
  </si>
  <si>
    <t>AF-DJ-001</t>
  </si>
  <si>
    <t>Women's High Waist Skinny Jeans – Light Blue Wash</t>
  </si>
  <si>
    <t>High Waist Skinny</t>
  </si>
  <si>
    <t>Ankle Length</t>
  </si>
  <si>
    <t>High Waist Skinny, Light Blue Wash, Stretch Denim, Ankle Length</t>
  </si>
  <si>
    <t>adult female, ankle, blue, high, length, light, skinny, stretch, waist, women</t>
  </si>
  <si>
    <t>AF-DJ-001_Adult_Female.png</t>
  </si>
  <si>
    <t>https://res.cloudinary.com/sdquiuat/image/upload/AF-DJ-001_Adult_Female.png</t>
  </si>
  <si>
    <t>AF-DJ-002</t>
  </si>
  <si>
    <t>Women's Mom Fit Jeans – Medium Blue</t>
  </si>
  <si>
    <t>Mom Fit</t>
  </si>
  <si>
    <t>Medium Blue</t>
  </si>
  <si>
    <t>Mom Fit, Medium Blue, Rolled Hem, Soft Washed Denim</t>
  </si>
  <si>
    <t>adult female, blue, hem, medium, mom, rolled, washed, women</t>
  </si>
  <si>
    <t>AF-DJ-002_Adult_Female.png</t>
  </si>
  <si>
    <t>https://res.cloudinary.com/sdquiuat/image/upload/AF-DJ-002_Adult_Female.png</t>
  </si>
  <si>
    <t>AF-DJ-003</t>
  </si>
  <si>
    <t>Women's Wide Leg Jeans – Dark Indigo</t>
  </si>
  <si>
    <t>Wide Leg, Dark Indigo, Premium Finish, Fashion Denim</t>
  </si>
  <si>
    <t>adult female, dark, fashion, finish, indigo, leg, wide, women</t>
  </si>
  <si>
    <t>AF-DJ-003_Adult_Female.png</t>
  </si>
  <si>
    <t>https://res.cloudinary.com/sdquiuat/image/upload/AF-DJ-003_Adult_Female.png</t>
  </si>
  <si>
    <t>KB-DJ-001</t>
  </si>
  <si>
    <t>Boys' Jogger Fit Jeans – Blue Wash</t>
  </si>
  <si>
    <t>Jogger Fit, Elastic Waist, Blue Wash, Soft Kids Denim</t>
  </si>
  <si>
    <t>blue, boys kids, elastic, jogger, kids, kids boy, waist</t>
  </si>
  <si>
    <t>KB-DJ-001_Kids_Boy.png</t>
  </si>
  <si>
    <t>https://res.cloudinary.com/sdquiuat/image/upload/KB-DJ-001_Kids_Boy.png</t>
  </si>
  <si>
    <t>KB-DJ-002</t>
  </si>
  <si>
    <t>Boys' Cargo Style Jeans – Blue-Black Wash</t>
  </si>
  <si>
    <t>Cargo Style</t>
  </si>
  <si>
    <t>Blue-Black Wash</t>
  </si>
  <si>
    <t>Durable Kids Denim</t>
  </si>
  <si>
    <t>4Y×5, 6Y×5, 8Y×6, 10Y×5, 12Y×5</t>
  </si>
  <si>
    <t>Cargo Style, Blue-Black Wash, Utility Pockets, Durable Kids Denim</t>
  </si>
  <si>
    <t>blue-black, boys kids, cargo, durable, kids, kids boy, pockets, style, utility</t>
  </si>
  <si>
    <t>KB-DJ-002_Kids_Boy.png</t>
  </si>
  <si>
    <t>https://res.cloudinary.com/sdquiuat/image/upload/KB-DJ-002_Kids_Boy.png</t>
  </si>
  <si>
    <t>KG-DJ-001</t>
  </si>
  <si>
    <t>Girls' Jeggings – Light Blue</t>
  </si>
  <si>
    <t>Jeggings</t>
  </si>
  <si>
    <t>Floral Embroidery</t>
  </si>
  <si>
    <t>Jeggings, Floral Embroidery, Light Blue, Stretch Kids Denim</t>
  </si>
  <si>
    <t>blue, embroidery, floral, girls kids, jeggings, kids, kids girl, light, stretch</t>
  </si>
  <si>
    <t>KG-DJ-001_Kids_Girl.png</t>
  </si>
  <si>
    <t>https://res.cloudinary.com/sdquiuat/image/upload/KG-DJ-001_Kids_Girl.png</t>
  </si>
  <si>
    <t>KG-DJ-002</t>
  </si>
  <si>
    <t>Girls' Flare Fit Jeans – Medium Wash</t>
  </si>
  <si>
    <t>Heart Patch, Soft Finish</t>
  </si>
  <si>
    <t>4Y×5, 6Y×6, 8Y×6, 10Y×6, 12Y×5</t>
  </si>
  <si>
    <t>Flare Fit, Heart Patch, Medium Wash, Soft Finish</t>
  </si>
  <si>
    <t>finish, flare, girls kids, heart, kids, kids girl, medium, patch, stretch</t>
  </si>
  <si>
    <t>KG-DJ-002_Kids_Girl.png</t>
  </si>
  <si>
    <t>https://res.cloudinary.com/sdquiuat/image/upload/KG-DJ-002_Kids_Girl.png</t>
  </si>
  <si>
    <t>Business Info, Policies &amp; Agent Settings (demo data — edit freely)</t>
  </si>
  <si>
    <t>Setting / Topic</t>
  </si>
  <si>
    <t>Value</t>
  </si>
  <si>
    <t>Notes for the AI Agent</t>
  </si>
  <si>
    <t>Max Bargain Discount (TK per piece)</t>
  </si>
  <si>
    <t>Lowest Price = Asking Price − this value. The agent must never quote below the Lowest Price.</t>
  </si>
  <si>
    <t>Company Name</t>
  </si>
  <si>
    <t>Demo Denim Wholesale Ltd.</t>
  </si>
  <si>
    <t>Fictional demo name — replace with the client's brand.</t>
  </si>
  <si>
    <t>Business Type</t>
  </si>
  <si>
    <t>Denim jeans manufacturer &amp; wholesaler (B2B only)</t>
  </si>
  <si>
    <t>Location</t>
  </si>
  <si>
    <t>Keraniganj, Dhaka, Bangladesh</t>
  </si>
  <si>
    <t>Factory visits by appointment via the sales team.</t>
  </si>
  <si>
    <t>Product Range</t>
  </si>
  <si>
    <t>Denim jeans — Adult Male, Adult Female, Kids Boy, Kids Girl (120 designs)</t>
  </si>
  <si>
    <t>No other garment types.</t>
  </si>
  <si>
    <t>Retail Policy</t>
  </si>
  <si>
    <t>Wholesale only — no retail / single-piece sales</t>
  </si>
  <si>
    <t>Politely decline retail requests; set lead status to Retail-Declined.</t>
  </si>
  <si>
    <t>MOQ</t>
  </si>
  <si>
    <t>1 bundle per design (bundle size 16–32 pcs, see Products)</t>
  </si>
  <si>
    <t>Designs can be mixed; each design ordered in full bundles.</t>
  </si>
  <si>
    <t>Minimum Order Value</t>
  </si>
  <si>
    <t>TK 30,000 per order</t>
  </si>
  <si>
    <t>Demo figure.</t>
  </si>
  <si>
    <t>Size Assortment</t>
  </si>
  <si>
    <t>Each bundle comes in the standard size assortment shown in Products</t>
  </si>
  <si>
    <t>Custom size ratio possible for 5+ bundles of one design (sales team confirms).</t>
  </si>
  <si>
    <t>Bargaining Rules</t>
  </si>
  <si>
    <t>Step 1: offer Asking − 10 TK. Step 2 (customer pushes again): final = Lowest Price (Asking − 20 TK). Accept any counter ≥ Lowest Price.</t>
  </si>
  <si>
    <t>Say "this is our final price" at the Lowest Price. Larger discounts only via sales team for 10+ bundles.</t>
  </si>
  <si>
    <t>Currency</t>
  </si>
  <si>
    <t>Bangladeshi Taka (BDT / TK) only</t>
  </si>
  <si>
    <t>All prices, quotes and invoices are in TK.</t>
  </si>
  <si>
    <t>Payment Methods</t>
  </si>
  <si>
    <t>Bank transfer, bKash/Nagad merchant, cash at factory; 50% advance, balance before dispatch</t>
  </si>
  <si>
    <t>Credit / COD</t>
  </si>
  <si>
    <t>No credit or cash-on-delivery for new buyers</t>
  </si>
  <si>
    <t>Samples</t>
  </si>
  <si>
    <t>Paid samples (1 pc per design); cost adjusted against the bulk order.</t>
  </si>
  <si>
    <t>Private Label / Customization</t>
  </si>
  <si>
    <t>Woven label, hangtag, custom wash for 10+ bundles per design; lead time 20–30 days</t>
  </si>
  <si>
    <t>Forward to the sales team.</t>
  </si>
  <si>
    <t>In stock: 2–3 days. Made to order: 15–20 days</t>
  </si>
  <si>
    <t>Per-product value in Products.Dispatch Time.</t>
  </si>
  <si>
    <t>Delivery</t>
  </si>
  <si>
    <t>All over Bangladesh by courier / transport agency; 1–3 days; buyer pays freight</t>
  </si>
  <si>
    <t>Defects &amp; Returns</t>
  </si>
  <si>
    <t>Report defects within 7 days of receipt with photos — replaced or credited. No change-of-mind returns.</t>
  </si>
  <si>
    <t>Sales Team Hours</t>
  </si>
  <si>
    <t>Saturday–Thursday, 10:00–19:00 (Bangladesh Time, GMT+6)</t>
  </si>
  <si>
    <t>The AI agent answers 24/7.</t>
  </si>
  <si>
    <t>Agent Language</t>
  </si>
  <si>
    <t>English</t>
  </si>
  <si>
    <t>Reply in simple, friendly business English even if the customer writes in Bangla (portfolio showcase requirement).</t>
  </si>
  <si>
    <t>Catalog Sending Rule</t>
  </si>
  <si>
    <t>Send 20 images per batch, wait 10–20 seconds between batches (6 batches = 120 images)</t>
  </si>
  <si>
    <t>Protects the WhatsApp number from being flagged. Stop when the customer asks.</t>
  </si>
  <si>
    <t>Handover Rule</t>
  </si>
  <si>
    <t>When the customer confirms items, quantities and price, collect lead details, set status "Qualified – Ready for Sales" and notify the sales team</t>
  </si>
  <si>
    <t>Yellow cells (blue text) are inputs: changing them updates the prices in the Products sheet.</t>
  </si>
  <si>
    <t>Likely Customer Questions &amp; How the AI Agent Should Answer</t>
  </si>
  <si>
    <t>66 questions in 14 categories · Agent replies in English · Data Source tells the agent where to look the answer up.</t>
  </si>
  <si>
    <t>#</t>
  </si>
  <si>
    <t>Category</t>
  </si>
  <si>
    <t>Sample Customer Question</t>
  </si>
  <si>
    <t>Intent</t>
  </si>
  <si>
    <t>How the Agent Should Answer</t>
  </si>
  <si>
    <t>Data Source</t>
  </si>
  <si>
    <t>Greeting</t>
  </si>
  <si>
    <t>Hi / Hello / Assalamu alaikum</t>
  </si>
  <si>
    <t>greeting</t>
  </si>
  <si>
    <t>Greet warmly, introduce the company as a denim jeans manufacturer &amp; wholesaler, ask if they are buying for a business and what segment they need (Men, Women, Boys, Girls).</t>
  </si>
  <si>
    <t>Business_Info</t>
  </si>
  <si>
    <t>Who are you? Is this a bot?</t>
  </si>
  <si>
    <t>identity</t>
  </si>
  <si>
    <t>Say you are the company's virtual sales assistant; a human sales rep takes over once the order details are ready.</t>
  </si>
  <si>
    <t>Business</t>
  </si>
  <si>
    <t>What do you sell?</t>
  </si>
  <si>
    <t>about_products</t>
  </si>
  <si>
    <t>Denim jeans only, 4 segments: Adult Male, Adult Female, Kids Boy, Kids Girl. 120 designs. Offer to send the catalog.</t>
  </si>
  <si>
    <t>Products / Business_Info</t>
  </si>
  <si>
    <t>Are you a manufacturer or a trader?</t>
  </si>
  <si>
    <t>about_company</t>
  </si>
  <si>
    <t>Manufacturer + wholesaler with own production in Keraniganj, Dhaka, Bangladesh.</t>
  </si>
  <si>
    <t>Where is your factory / shop located?</t>
  </si>
  <si>
    <t>location</t>
  </si>
  <si>
    <t>Give the address from Business_Info. Visits by appointment through the sales team.</t>
  </si>
  <si>
    <t>What are your business hours?</t>
  </si>
  <si>
    <t>hours</t>
  </si>
  <si>
    <t>Assistant replies 24/7; human sales team hours from Business_Info.</t>
  </si>
  <si>
    <t>Retail / Wholesale</t>
  </si>
  <si>
    <t>Can I buy just 1 or 2 pieces?</t>
  </si>
  <si>
    <t>retail_request</t>
  </si>
  <si>
    <t>Politely explain we sell wholesale only (minimum 1 bundle per design). Do not continue a retail order. Lead status = Retail-Declined.</t>
  </si>
  <si>
    <t>Business_Info (MOQ)</t>
  </si>
  <si>
    <t>I want one jeans for myself, price?</t>
  </si>
  <si>
    <t>Same polite wholesale-only reply; thank them and close. Do not quote a single-piece retail price.</t>
  </si>
  <si>
    <t>Do you sell retail or only wholesale?</t>
  </si>
  <si>
    <t>wholesale_only</t>
  </si>
  <si>
    <t>Wholesale only. Explain MOQ and bundle concept.</t>
  </si>
  <si>
    <t>What is your minimum order quantity (MOQ)?</t>
  </si>
  <si>
    <t>moq</t>
  </si>
  <si>
    <t>MOQ is 1 bundle per design; bundle size differs per design (16–32 pcs). Minimum total order value from Business_Info.</t>
  </si>
  <si>
    <t>Products.Bundle Size / Business_Info</t>
  </si>
  <si>
    <t>Can I mix designs in one order?</t>
  </si>
  <si>
    <t>mix_designs</t>
  </si>
  <si>
    <t>Yes, different designs can be mixed; each design is ordered in full bundles.</t>
  </si>
  <si>
    <t>Can I mix sizes inside a bundle?</t>
  </si>
  <si>
    <t>size_mix</t>
  </si>
  <si>
    <t>Bundles come in a standard size assortment (see Size Assortment). Custom ratios possible for 5+ bundles of a design, confirmed by the sales team.</t>
  </si>
  <si>
    <t>Products.Size Assortment / Business_Info</t>
  </si>
  <si>
    <t>Catalog</t>
  </si>
  <si>
    <t>Send me your catalog / Show me all products</t>
  </si>
  <si>
    <t>catalog_all</t>
  </si>
  <si>
    <t>Send images in batches of 20 with a 10–20 s pause between batches (catalog batch 1–6). After each batch ask if they want more or a specific segment.</t>
  </si>
  <si>
    <t>Products (Catalog Batch, Image URL)</t>
  </si>
  <si>
    <t>Show me only men's jeans</t>
  </si>
  <si>
    <t>catalog_filter</t>
  </si>
  <si>
    <t>Filter by Category/Segment and send only those images (batched).</t>
  </si>
  <si>
    <t>Products.Category</t>
  </si>
  <si>
    <t>Do you have kids' jeans? For which ages?</t>
  </si>
  <si>
    <t>Yes, Kids Boy and Kids Girl; give age ranges from Sizes and offer to send images.</t>
  </si>
  <si>
    <t>Products.Sizes</t>
  </si>
  <si>
    <t>Do you have black jeans / light blue jeans?</t>
  </si>
  <si>
    <t>Search Color / Wash and Search Keywords; send matching images.</t>
  </si>
  <si>
    <t>Products.Color, Search Keywords</t>
  </si>
  <si>
    <t>Do you have cargo / jogger / wide leg / flare jeans?</t>
  </si>
  <si>
    <t>Search Fit and Style; send matching images with Product IDs.</t>
  </si>
  <si>
    <t>Products.Fit, Style</t>
  </si>
  <si>
    <t>What's your cheapest item? / Anything under TK 500?</t>
  </si>
  <si>
    <t>catalog_price_filter</t>
  </si>
  <si>
    <t>Filter by Asking Price; list Product IDs with prices and send images.</t>
  </si>
  <si>
    <t>Products.Asking Price</t>
  </si>
  <si>
    <t>What are your best sellers / new arrivals?</t>
  </si>
  <si>
    <t>best_sellers</t>
  </si>
  <si>
    <t>Suggest a few in-stock items from each segment (demo: pick by stock). Never invent sales numbers.</t>
  </si>
  <si>
    <t>Products.Stock</t>
  </si>
  <si>
    <t>Stop sending pictures / That's enough</t>
  </si>
  <si>
    <t>catalog_stop</t>
  </si>
  <si>
    <t>Stop the batch immediately and ask which designs they liked.</t>
  </si>
  <si>
    <t>—</t>
  </si>
  <si>
    <t>Product Details</t>
  </si>
  <si>
    <t>[Sends screenshot] I like this one</t>
  </si>
  <si>
    <t>identify_image</t>
  </si>
  <si>
    <t>Read the Product ID printed on the image (vision). If not visible, match by visual description and confirm with the customer. Then give full details.</t>
  </si>
  <si>
    <t>Products (all fields)</t>
  </si>
  <si>
    <t>[Sends a photo from another website] Do you have this?</t>
  </si>
  <si>
    <t>identify_external</t>
  </si>
  <si>
    <t>Say it is not from our catalog; suggest the closest matching designs by fit/color and send their images.</t>
  </si>
  <si>
    <t>Products</t>
  </si>
  <si>
    <t>What is the price of PD045?</t>
  </si>
  <si>
    <t>price_by_id</t>
  </si>
  <si>
    <t>Give Asking Price per piece (TK), bundle size and bundle price. Do not reveal the lowest price.</t>
  </si>
  <si>
    <t>Tell me details of this product</t>
  </si>
  <si>
    <t>product_details</t>
  </si>
  <si>
    <t>Fit, color/wash, fabric, key features, sizes, size assortment, bundle size, stock status, dispatch time.</t>
  </si>
  <si>
    <t>What is the fabric? Is it stretchable?</t>
  </si>
  <si>
    <t>fabric</t>
  </si>
  <si>
    <t>Answer from Fabric field; stretch = contains Spandex/Elastane/Stretch.</t>
  </si>
  <si>
    <t>Products.Fabric</t>
  </si>
  <si>
    <t>What sizes are available?</t>
  </si>
  <si>
    <t>sizes</t>
  </si>
  <si>
    <t>Give Sizes and the Size Assortment per bundle.</t>
  </si>
  <si>
    <t>Products.Sizes, Size Assortment</t>
  </si>
  <si>
    <t>How many pieces are in one bundle?</t>
  </si>
  <si>
    <t>bundle_size</t>
  </si>
  <si>
    <t>Give Bundle Size (pcs) and Bundle Price.</t>
  </si>
  <si>
    <t>Products.Bundle Size</t>
  </si>
  <si>
    <t>Is this available in other colors?</t>
  </si>
  <si>
    <t>other_colors</t>
  </si>
  <si>
    <t>Each design is one color; suggest same-fit designs in other colors from the catalog.</t>
  </si>
  <si>
    <t>Products.Fit, Color</t>
  </si>
  <si>
    <t>Is it in stock? How many bundles available?</t>
  </si>
  <si>
    <t>stock</t>
  </si>
  <si>
    <t>Give Stock Status and Dispatch Time; give exact bundle count only if asked.</t>
  </si>
  <si>
    <t>Compare PD031 and PD041</t>
  </si>
  <si>
    <t>compare</t>
  </si>
  <si>
    <t>Show both side by side: price, bundle, fit, fabric, sizes, stock.</t>
  </si>
  <si>
    <t>Can you send more photos / a video of this item?</t>
  </si>
  <si>
    <t>more_media</t>
  </si>
  <si>
    <t>Only catalog images are available in chat; real photos/video can be arranged by the sales team (flag in lead notes).</t>
  </si>
  <si>
    <t>Pricing</t>
  </si>
  <si>
    <t>What is the price per piece?</t>
  </si>
  <si>
    <t>price</t>
  </si>
  <si>
    <t>Quote Asking Price per piece. Prices are wholesale, ex-factory Dhaka.</t>
  </si>
  <si>
    <t>Bargaining</t>
  </si>
  <si>
    <t>Can you give a discount? / Reduce the price</t>
  </si>
  <si>
    <t>bargain</t>
  </si>
  <si>
    <t>Negotiate politely: first offer Asking − 10 TK. If they push again, final offer = Lowest Price (Asking − 20). Never go below Lowest Price. Say clearly when it is the final price.</t>
  </si>
  <si>
    <t>Products.Lowest Price, Business_Info (Bargaining Rules)</t>
  </si>
  <si>
    <t>TK 650 is my best price for PD011 (asking 700)</t>
  </si>
  <si>
    <t>bargain_counter</t>
  </si>
  <si>
    <t>If counter &lt; Lowest Price: decline politely and offer Lowest Price as final. If counter ≥ Lowest Price: accept the counter.</t>
  </si>
  <si>
    <t>Products.Lowest Price</t>
  </si>
  <si>
    <t>What is your last price?</t>
  </si>
  <si>
    <t>last_price</t>
  </si>
  <si>
    <t>If not negotiated yet, offer Asking − 10 first; on second ask give Lowest Price as 'final price'.</t>
  </si>
  <si>
    <t>If I order 10 bundles, will you reduce more?</t>
  </si>
  <si>
    <t>volume_discount</t>
  </si>
  <si>
    <t>Max per-piece discount stays TK 20 in chat. Larger orders (10+ bundles) — offer to forward to the sales team for a special quote.</t>
  </si>
  <si>
    <t>Your competitor sells cheaper</t>
  </si>
  <si>
    <t>competitor</t>
  </si>
  <si>
    <t>Stay polite, highlight quality/fabric/finishing; offer the Lowest Price as final, never below.</t>
  </si>
  <si>
    <t>Order</t>
  </si>
  <si>
    <t>How do I place an order?</t>
  </si>
  <si>
    <t>order_process</t>
  </si>
  <si>
    <t>Explain: choose designs → confirm quantities (bundles) → share business &amp; delivery details → sales team sends invoice → advance payment → dispatch.</t>
  </si>
  <si>
    <t>I want to order PD021 x 2 bundles and PD045 x 1 bundle</t>
  </si>
  <si>
    <t>order_intent</t>
  </si>
  <si>
    <t>Confirm each item, price agreed, bundle count, order value; then collect lead details (name, business, country, city, delivery address, payment preference). Save as Qualified and hand over.</t>
  </si>
  <si>
    <t>Products, Leads</t>
  </si>
  <si>
    <t>What is the total for my order?</t>
  </si>
  <si>
    <t>order_total</t>
  </si>
  <si>
    <t>Calculate: agreed price × bundle size × bundles for each item; show total in TK.</t>
  </si>
  <si>
    <t>Can I change / cancel my order?</t>
  </si>
  <si>
    <t>order_change</t>
  </si>
  <si>
    <t>Before advance payment: yes, update the lead. After payment: sales team handles it.</t>
  </si>
  <si>
    <t>Leads</t>
  </si>
  <si>
    <t>Can I get a sample first?</t>
  </si>
  <si>
    <t>sample</t>
  </si>
  <si>
    <t>Paid sample (1 pc per design) available; sample cost adjusted with the bulk order.</t>
  </si>
  <si>
    <t>Can you put my brand label / logo?</t>
  </si>
  <si>
    <t>customization</t>
  </si>
  <si>
    <t>Private label (woven label, hangtag) available for 10+ bundles per design; lead time 20–30 days. Forward to sales team.</t>
  </si>
  <si>
    <t>Can you make a custom design / different wash?</t>
  </si>
  <si>
    <t>custom_design</t>
  </si>
  <si>
    <t>Possible for bulk orders; forward requirements to the sales team.</t>
  </si>
  <si>
    <t>Payment</t>
  </si>
  <si>
    <t>What payment methods do you accept?</t>
  </si>
  <si>
    <t>payment_methods</t>
  </si>
  <si>
    <t>Bank transfer, bKash/Nagad merchant account, or cash at the factory. All payments in TK.</t>
  </si>
  <si>
    <t>Do I need to pay in advance? How much?</t>
  </si>
  <si>
    <t>advance</t>
  </si>
  <si>
    <t>50% advance, balance before dispatch (Business_Info).</t>
  </si>
  <si>
    <t>Do you give credit / cash on delivery?</t>
  </si>
  <si>
    <t>credit</t>
  </si>
  <si>
    <t>No credit for new buyers; COD not available for wholesale orders (partial advance required).</t>
  </si>
  <si>
    <t>Can I pay by PayPal / card?</t>
  </si>
  <si>
    <t>payment_other</t>
  </si>
  <si>
    <t>Not for bulk orders; sales team can confirm alternatives.</t>
  </si>
  <si>
    <t>Shipping</t>
  </si>
  <si>
    <t>Do you deliver outside Dhaka?</t>
  </si>
  <si>
    <t>delivery_local</t>
  </si>
  <si>
    <t>Yes, all over Bangladesh via courier/transport; charges paid by buyer.</t>
  </si>
  <si>
    <t>Do you ship outside Bangladesh?</t>
  </si>
  <si>
    <t>delivery_abroad</t>
  </si>
  <si>
    <t>Currently we deliver within Bangladesh only; buyers can arrange their own forwarder from Dhaka.</t>
  </si>
  <si>
    <t>How long will delivery take?</t>
  </si>
  <si>
    <t>delivery_time</t>
  </si>
  <si>
    <t>In-stock: dispatch in 2–3 days; delivery 1–3 days inside Bangladesh. Made-to-order adds production time.</t>
  </si>
  <si>
    <t>Products.Dispatch Time, Business_Info</t>
  </si>
  <si>
    <t>What is the shipping cost?</t>
  </si>
  <si>
    <t>shipping_cost</t>
  </si>
  <si>
    <t>Depends on weight/destination; sales team gives the exact quote after order details.</t>
  </si>
  <si>
    <t>After-sales</t>
  </si>
  <si>
    <t>What if some pieces are defective?</t>
  </si>
  <si>
    <t>defects</t>
  </si>
  <si>
    <t>Report within 7 days of receipt with photos; defective pieces replaced or credited.</t>
  </si>
  <si>
    <t>Do you accept returns?</t>
  </si>
  <si>
    <t>returns</t>
  </si>
  <si>
    <t>No returns for change of mind on wholesale orders; only manufacturing defects.</t>
  </si>
  <si>
    <t>Can I reorder the same design later?</t>
  </si>
  <si>
    <t>reorder</t>
  </si>
  <si>
    <t>Yes; if out of stock it is made to order (15–20 days).</t>
  </si>
  <si>
    <t>Products.Stock Status</t>
  </si>
  <si>
    <t>Lead Qualification</t>
  </si>
  <si>
    <t>[Agent asks] What type of business do you have?</t>
  </si>
  <si>
    <t>qualify_business_type</t>
  </si>
  <si>
    <t>Collect: retailer / wholesaler / importer / online seller / boutique.</t>
  </si>
  <si>
    <t>[Agent asks] Which country and city are you in?</t>
  </si>
  <si>
    <t>qualify_location</t>
  </si>
  <si>
    <t>Collect country &amp; city (decides delivery charge and time).</t>
  </si>
  <si>
    <t>[Agent asks] How many bundles / what monthly volume?</t>
  </si>
  <si>
    <t>qualify_volume</t>
  </si>
  <si>
    <t>Collect expected quantity; used for lead score.</t>
  </si>
  <si>
    <t>[Agent asks] When do you need the goods?</t>
  </si>
  <si>
    <t>qualify_timeline</t>
  </si>
  <si>
    <t>Collect required delivery date.</t>
  </si>
  <si>
    <t>[Agent asks] Your name and business name?</t>
  </si>
  <si>
    <t>collect_contact</t>
  </si>
  <si>
    <t>Collect name, business name; WhatsApp number is captured automatically; email optional.</t>
  </si>
  <si>
    <t>Handover</t>
  </si>
  <si>
    <t>I want to talk to a human / sales person</t>
  </si>
  <si>
    <t>human_handover</t>
  </si>
  <si>
    <t>Collect any missing details, mark lead as Handed over, tell them a sales rep will contact them within the business hours.</t>
  </si>
  <si>
    <t>Call me</t>
  </si>
  <si>
    <t>call_request</t>
  </si>
  <si>
    <t>Save preferred call time in lead notes and hand over.</t>
  </si>
  <si>
    <t>Misc</t>
  </si>
  <si>
    <t>Do you have other products (shirts, t-shirts)?</t>
  </si>
  <si>
    <t>out_of_scope_product</t>
  </si>
  <si>
    <t>Only denim jeans currently; politely say so.</t>
  </si>
  <si>
    <t>[Unrelated / abusive / spam message]</t>
  </si>
  <si>
    <t>off_topic</t>
  </si>
  <si>
    <t>Stay polite, steer back to wholesale denim; do not engage with abuse; stop after 2 off-topic replies.</t>
  </si>
  <si>
    <t>[Voice message]</t>
  </si>
  <si>
    <t>voice_note</t>
  </si>
  <si>
    <t>Ask kindly to type the message (or transcribe if voice support is added later).</t>
  </si>
  <si>
    <t>[Writes in Bangla / other language]</t>
  </si>
  <si>
    <t>language</t>
  </si>
  <si>
    <t>Reply in English (project rule) in simple words; optionally acknowledge the language.</t>
  </si>
  <si>
    <t>Lead ID</t>
  </si>
  <si>
    <t>WhatsApp Number</t>
  </si>
  <si>
    <t>Customer Name</t>
  </si>
  <si>
    <t>Business Name</t>
  </si>
  <si>
    <t>Country</t>
  </si>
  <si>
    <t>City</t>
  </si>
  <si>
    <t>Interested Product IDs</t>
  </si>
  <si>
    <t>Order Items (ID × bundles @ agreed price)</t>
  </si>
  <si>
    <t>Total Bundles</t>
  </si>
  <si>
    <t>Estimated Order Value (TK)</t>
  </si>
  <si>
    <t>Payment Preference</t>
  </si>
  <si>
    <t>Delivery Address</t>
  </si>
  <si>
    <t>Required By</t>
  </si>
  <si>
    <t>Lead Status</t>
  </si>
  <si>
    <t>Lead Score (1–5)</t>
  </si>
  <si>
    <t>Retail Request?</t>
  </si>
  <si>
    <t>Conversation Summary</t>
  </si>
  <si>
    <t>Assigned Sales Rep</t>
  </si>
  <si>
    <t>First Contact</t>
  </si>
  <si>
    <t>Last Contact</t>
  </si>
  <si>
    <t>Handover Notified</t>
  </si>
  <si>
    <t>L-0001</t>
  </si>
  <si>
    <t>+8801XXXXXXXXX</t>
  </si>
  <si>
    <t>Example Buyer</t>
  </si>
  <si>
    <t>Example Fashion House</t>
  </si>
  <si>
    <t>Retailer (shop)</t>
  </si>
  <si>
    <t>Bangladesh</t>
  </si>
  <si>
    <t>Chattogram</t>
  </si>
  <si>
    <t>PD021, PD045</t>
  </si>
  <si>
    <t>PD021 × 2 @ TK 680; PD045 × 1 @ TK 720</t>
  </si>
  <si>
    <t>Bank transfer</t>
  </si>
  <si>
    <t>Example address, Chattogram</t>
  </si>
  <si>
    <t>2026-11-01</t>
  </si>
  <si>
    <t>Qualified – Ready for Sales</t>
  </si>
  <si>
    <t>No</t>
  </si>
  <si>
    <t>Liked PD021 &amp; PD045 from batch 2; negotiated PD021 from 690 to 680 (final 670 not needed).</t>
  </si>
  <si>
    <t>2026-10-13 21:00</t>
  </si>
  <si>
    <t>2026-10-13 21:25</t>
  </si>
  <si>
    <t>Row 2 is an EXAMPLE showing the expected format — the AI agent writes one row per customer (in Airtable). Delete the example before going live.</t>
  </si>
  <si>
    <t>Lead Status options: New · Browsing Catalog · Negotiating · Collecting Details · Qualified – Ready for Sales · Handed Over · Retail-Declined · Not Interested</t>
  </si>
  <si>
    <t>Lead Score guide: 5 = items+qty+price agreed &amp; details complete · 4 = items+price agreed · 3 = negotiating · 2 = browsing · 1 = retail / no intent</t>
  </si>
  <si>
    <t>Summary by Category</t>
  </si>
  <si>
    <t>Lowest Asking (TK)</t>
  </si>
  <si>
    <t>Highest Asking (TK)</t>
  </si>
  <si>
    <t>Average Asking (TK)</t>
  </si>
  <si>
    <t>In-Stock Designs</t>
  </si>
  <si>
    <t>Made-to-Order Designs</t>
  </si>
  <si>
    <t>Total /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</si>
</sst>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K &quot;#,##0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name val="Arial"/>
      <family val="2"/>
    </font>
    <font>
      <b/>
      <sz val="14"/>
      <color rgb="FF0B2D4F"/>
      <name val="Arial"/>
      <charset val="1"/>
    </font>
    <font>
      <sz val="10"/>
      <color rgb="FF0000FF"/>
      <name val="Arial"/>
      <charset val="1"/>
    </font>
    <font>
      <i/>
      <sz val="9"/>
      <color rgb="FF555555"/>
      <name val="Arial"/>
      <charset val="1"/>
    </font>
    <font>
      <i/>
      <sz val="10"/>
      <color rgb="FF7F7F7F"/>
      <name val="Arial"/>
      <charset val="1"/>
    </font>
    <font>
      <u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B2D4F"/>
        <bgColor rgb="FF333333"/>
      </patternFill>
    </fill>
    <fill>
      <patternFill patternType="solid">
        <fgColor rgb="FFE3EDF7"/>
        <bgColor rgb="FFE4F4EA"/>
      </patternFill>
    </fill>
    <fill>
      <patternFill patternType="solid">
        <fgColor rgb="FFFBE7EF"/>
        <bgColor rgb="FFFFF3DC"/>
      </patternFill>
    </fill>
    <fill>
      <patternFill patternType="solid">
        <fgColor rgb="FFE4F4EA"/>
        <bgColor rgb="FFE3EDF7"/>
      </patternFill>
    </fill>
    <fill>
      <patternFill patternType="solid">
        <fgColor rgb="FFFFF3DC"/>
        <bgColor rgb="FFFFF2CC"/>
      </patternFill>
    </fill>
    <fill>
      <patternFill patternType="solid">
        <fgColor rgb="FFFFF2CC"/>
        <bgColor rgb="FFFFF3DC"/>
      </patternFill>
    </fill>
  </fills>
  <borders count="2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0" borderId="0" xfId="0" applyFont="1"/>
    <xf numFmtId="0" fontId="2" fillId="0" borderId="1" xfId="0" applyFont="1" applyBorder="1" applyAlignment="1">
      <alignment horizontal="left" vertical="center"/>
    </xf>
    <xf numFmtId="1" fontId="6" fillId="7" borderId="1" xfId="0" applyNumberFormat="1" applyFont="1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9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4F4EA"/>
      <rgbColor rgb="FF660066"/>
      <rgbColor rgb="FFFF8080"/>
      <rgbColor rgb="FF0066CC"/>
      <rgbColor rgb="FFC9D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DF7"/>
      <rgbColor rgb="FFFBE7EF"/>
      <rgbColor rgb="FFFFF3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2D4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res.cloudinary.com/sdquiuat/image/upload/PD011_Adult_Mal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1"/>
  <sheetViews>
    <sheetView tabSelected="1" zoomScaleNormal="100" workbookViewId="0">
      <pane xSplit="2" ySplit="1" topLeftCell="U2" activePane="bottomRight" state="frozen"/>
      <selection pane="topRight" activeCell="C1" sqref="C1"/>
      <selection pane="bottomLeft" activeCell="A2" sqref="A2"/>
      <selection pane="bottomRight" activeCell="W2" sqref="W2"/>
    </sheetView>
  </sheetViews>
  <sheetFormatPr defaultColWidth="8.6328125" defaultRowHeight="14.5" x14ac:dyDescent="0.35"/>
  <cols>
    <col min="1" max="1" width="12" customWidth="1"/>
    <col min="2" max="2" width="34" customWidth="1"/>
    <col min="3" max="3" width="15" customWidth="1"/>
    <col min="4" max="4" width="12" customWidth="1"/>
    <col min="5" max="5" width="11" customWidth="1"/>
    <col min="6" max="6" width="12" customWidth="1"/>
    <col min="7" max="7" width="10" customWidth="1"/>
    <col min="8" max="8" width="14" customWidth="1"/>
    <col min="9" max="9" width="9" customWidth="1"/>
    <col min="10" max="11" width="22" customWidth="1"/>
    <col min="12" max="12" width="32" customWidth="1"/>
    <col min="13" max="13" width="36" customWidth="1"/>
    <col min="14" max="14" width="12" customWidth="1"/>
    <col min="15" max="15" width="34" customWidth="1"/>
    <col min="16" max="16" width="9" customWidth="1"/>
    <col min="17" max="17" width="13" customWidth="1"/>
    <col min="18" max="18" width="18" customWidth="1"/>
    <col min="19" max="19" width="56" customWidth="1"/>
    <col min="20" max="20" width="48" customWidth="1"/>
    <col min="21" max="21" width="11" customWidth="1"/>
    <col min="22" max="23" width="30" customWidth="1"/>
    <col min="24" max="24" width="8" customWidth="1"/>
    <col min="25" max="25" width="22" customWidth="1"/>
  </cols>
  <sheetData>
    <row r="1" spans="1:25" ht="4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5" x14ac:dyDescent="0.35">
      <c r="A2" s="2" t="s">
        <v>25</v>
      </c>
      <c r="B2" s="3" t="s">
        <v>26</v>
      </c>
      <c r="C2" s="4" t="s">
        <v>27</v>
      </c>
      <c r="D2" s="5">
        <v>700</v>
      </c>
      <c r="E2" s="5">
        <f>Business_Info!$B$3</f>
        <v>20</v>
      </c>
      <c r="F2" s="6">
        <f t="shared" ref="F2:F33" si="0">D2-E2</f>
        <v>680</v>
      </c>
      <c r="G2" s="7">
        <v>30</v>
      </c>
      <c r="H2" s="5">
        <f t="shared" ref="H2:H33" si="1">D2*G2</f>
        <v>21000</v>
      </c>
      <c r="I2" s="7">
        <v>1</v>
      </c>
      <c r="J2" s="3" t="s">
        <v>28</v>
      </c>
      <c r="K2" s="3" t="s">
        <v>29</v>
      </c>
      <c r="L2" s="3" t="s">
        <v>30</v>
      </c>
      <c r="M2" s="3" t="s">
        <v>31</v>
      </c>
      <c r="N2" s="7" t="s">
        <v>32</v>
      </c>
      <c r="O2" s="3" t="s">
        <v>33</v>
      </c>
      <c r="P2" s="7">
        <v>0</v>
      </c>
      <c r="Q2" s="8" t="s">
        <v>34</v>
      </c>
      <c r="R2" s="3" t="s">
        <v>35</v>
      </c>
      <c r="S2" s="3" t="s">
        <v>36</v>
      </c>
      <c r="T2" s="3" t="s">
        <v>37</v>
      </c>
      <c r="U2" s="7">
        <v>1</v>
      </c>
      <c r="V2" s="9" t="s">
        <v>38</v>
      </c>
      <c r="W2" s="24" t="s">
        <v>39</v>
      </c>
      <c r="X2" s="7" t="s">
        <v>40</v>
      </c>
      <c r="Y2" s="9" t="s">
        <v>13</v>
      </c>
    </row>
    <row r="3" spans="1:25" ht="25" x14ac:dyDescent="0.35">
      <c r="A3" s="2" t="s">
        <v>41</v>
      </c>
      <c r="B3" s="3" t="s">
        <v>42</v>
      </c>
      <c r="C3" s="4" t="s">
        <v>27</v>
      </c>
      <c r="D3" s="5">
        <v>750</v>
      </c>
      <c r="E3" s="5">
        <f>Business_Info!$B$3</f>
        <v>20</v>
      </c>
      <c r="F3" s="6">
        <f t="shared" si="0"/>
        <v>730</v>
      </c>
      <c r="G3" s="7">
        <v>30</v>
      </c>
      <c r="H3" s="5">
        <f t="shared" si="1"/>
        <v>22500</v>
      </c>
      <c r="I3" s="7">
        <v>1</v>
      </c>
      <c r="J3" s="3" t="s">
        <v>43</v>
      </c>
      <c r="K3" s="3" t="s">
        <v>44</v>
      </c>
      <c r="L3" s="3" t="s">
        <v>45</v>
      </c>
      <c r="M3" s="3" t="s">
        <v>46</v>
      </c>
      <c r="N3" s="7" t="s">
        <v>47</v>
      </c>
      <c r="O3" s="3" t="s">
        <v>48</v>
      </c>
      <c r="P3" s="7">
        <v>34</v>
      </c>
      <c r="Q3" s="10" t="s">
        <v>49</v>
      </c>
      <c r="R3" s="3" t="s">
        <v>50</v>
      </c>
      <c r="S3" s="3" t="s">
        <v>51</v>
      </c>
      <c r="T3" s="3" t="s">
        <v>52</v>
      </c>
      <c r="U3" s="7">
        <v>1</v>
      </c>
      <c r="V3" s="9" t="s">
        <v>53</v>
      </c>
      <c r="W3" s="9" t="s">
        <v>54</v>
      </c>
      <c r="X3" s="7" t="s">
        <v>40</v>
      </c>
      <c r="Y3" s="9" t="s">
        <v>13</v>
      </c>
    </row>
    <row r="4" spans="1:25" ht="25" x14ac:dyDescent="0.35">
      <c r="A4" s="2" t="s">
        <v>55</v>
      </c>
      <c r="B4" s="3" t="s">
        <v>56</v>
      </c>
      <c r="C4" s="4" t="s">
        <v>27</v>
      </c>
      <c r="D4" s="5">
        <v>650</v>
      </c>
      <c r="E4" s="5">
        <f>Business_Info!$B$3</f>
        <v>20</v>
      </c>
      <c r="F4" s="6">
        <f t="shared" si="0"/>
        <v>630</v>
      </c>
      <c r="G4" s="7">
        <v>30</v>
      </c>
      <c r="H4" s="5">
        <f t="shared" si="1"/>
        <v>19500</v>
      </c>
      <c r="I4" s="7">
        <v>1</v>
      </c>
      <c r="J4" s="3" t="s">
        <v>57</v>
      </c>
      <c r="K4" s="3" t="s">
        <v>58</v>
      </c>
      <c r="L4" s="3" t="s">
        <v>45</v>
      </c>
      <c r="M4" s="3" t="s">
        <v>59</v>
      </c>
      <c r="N4" s="7" t="s">
        <v>47</v>
      </c>
      <c r="O4" s="3" t="s">
        <v>48</v>
      </c>
      <c r="P4" s="7">
        <v>0</v>
      </c>
      <c r="Q4" s="8" t="s">
        <v>34</v>
      </c>
      <c r="R4" s="3" t="s">
        <v>35</v>
      </c>
      <c r="S4" s="3" t="s">
        <v>60</v>
      </c>
      <c r="T4" s="3" t="s">
        <v>61</v>
      </c>
      <c r="U4" s="7">
        <v>1</v>
      </c>
      <c r="V4" s="9" t="s">
        <v>62</v>
      </c>
      <c r="W4" s="9" t="s">
        <v>63</v>
      </c>
      <c r="X4" s="7" t="s">
        <v>40</v>
      </c>
      <c r="Y4" s="9" t="s">
        <v>13</v>
      </c>
    </row>
    <row r="5" spans="1:25" ht="25" x14ac:dyDescent="0.35">
      <c r="A5" s="2" t="s">
        <v>64</v>
      </c>
      <c r="B5" s="3" t="s">
        <v>65</v>
      </c>
      <c r="C5" s="8" t="s">
        <v>66</v>
      </c>
      <c r="D5" s="5">
        <v>700</v>
      </c>
      <c r="E5" s="5">
        <f>Business_Info!$B$3</f>
        <v>20</v>
      </c>
      <c r="F5" s="6">
        <f t="shared" si="0"/>
        <v>680</v>
      </c>
      <c r="G5" s="7">
        <v>30</v>
      </c>
      <c r="H5" s="5">
        <f t="shared" si="1"/>
        <v>21000</v>
      </c>
      <c r="I5" s="7">
        <v>1</v>
      </c>
      <c r="J5" s="3" t="s">
        <v>67</v>
      </c>
      <c r="K5" s="3" t="s">
        <v>68</v>
      </c>
      <c r="L5" s="3" t="s">
        <v>30</v>
      </c>
      <c r="M5" s="3" t="s">
        <v>69</v>
      </c>
      <c r="N5" s="7" t="s">
        <v>70</v>
      </c>
      <c r="O5" s="3" t="s">
        <v>71</v>
      </c>
      <c r="P5" s="7">
        <v>0</v>
      </c>
      <c r="Q5" s="8" t="s">
        <v>34</v>
      </c>
      <c r="R5" s="3" t="s">
        <v>35</v>
      </c>
      <c r="S5" s="3" t="s">
        <v>72</v>
      </c>
      <c r="T5" s="3" t="s">
        <v>73</v>
      </c>
      <c r="U5" s="7">
        <v>1</v>
      </c>
      <c r="V5" s="9" t="s">
        <v>74</v>
      </c>
      <c r="W5" s="9" t="s">
        <v>75</v>
      </c>
      <c r="X5" s="7" t="s">
        <v>40</v>
      </c>
      <c r="Y5" s="9" t="s">
        <v>13</v>
      </c>
    </row>
    <row r="6" spans="1:25" x14ac:dyDescent="0.35">
      <c r="A6" s="2" t="s">
        <v>76</v>
      </c>
      <c r="B6" s="3" t="s">
        <v>77</v>
      </c>
      <c r="C6" s="8" t="s">
        <v>66</v>
      </c>
      <c r="D6" s="5">
        <v>750</v>
      </c>
      <c r="E6" s="5">
        <f>Business_Info!$B$3</f>
        <v>20</v>
      </c>
      <c r="F6" s="6">
        <f t="shared" si="0"/>
        <v>730</v>
      </c>
      <c r="G6" s="7">
        <v>30</v>
      </c>
      <c r="H6" s="5">
        <f t="shared" si="1"/>
        <v>22500</v>
      </c>
      <c r="I6" s="7">
        <v>1</v>
      </c>
      <c r="J6" s="3" t="s">
        <v>78</v>
      </c>
      <c r="K6" s="3" t="s">
        <v>79</v>
      </c>
      <c r="L6" s="3" t="s">
        <v>30</v>
      </c>
      <c r="M6" s="3" t="s">
        <v>69</v>
      </c>
      <c r="N6" s="7" t="s">
        <v>80</v>
      </c>
      <c r="O6" s="3" t="s">
        <v>81</v>
      </c>
      <c r="P6" s="7">
        <v>9</v>
      </c>
      <c r="Q6" s="10" t="s">
        <v>49</v>
      </c>
      <c r="R6" s="3" t="s">
        <v>50</v>
      </c>
      <c r="S6" s="3" t="s">
        <v>82</v>
      </c>
      <c r="T6" s="3" t="s">
        <v>83</v>
      </c>
      <c r="U6" s="7">
        <v>1</v>
      </c>
      <c r="V6" s="9" t="s">
        <v>84</v>
      </c>
      <c r="W6" s="9" t="s">
        <v>85</v>
      </c>
      <c r="X6" s="7" t="s">
        <v>40</v>
      </c>
      <c r="Y6" s="9" t="s">
        <v>13</v>
      </c>
    </row>
    <row r="7" spans="1:25" x14ac:dyDescent="0.35">
      <c r="A7" s="2" t="s">
        <v>86</v>
      </c>
      <c r="B7" s="3" t="s">
        <v>87</v>
      </c>
      <c r="C7" s="8" t="s">
        <v>66</v>
      </c>
      <c r="D7" s="5">
        <v>650</v>
      </c>
      <c r="E7" s="5">
        <f>Business_Info!$B$3</f>
        <v>20</v>
      </c>
      <c r="F7" s="6">
        <f t="shared" si="0"/>
        <v>630</v>
      </c>
      <c r="G7" s="7">
        <v>30</v>
      </c>
      <c r="H7" s="5">
        <f t="shared" si="1"/>
        <v>19500</v>
      </c>
      <c r="I7" s="7">
        <v>1</v>
      </c>
      <c r="J7" s="3" t="s">
        <v>88</v>
      </c>
      <c r="K7" s="3" t="s">
        <v>89</v>
      </c>
      <c r="L7" s="3" t="s">
        <v>30</v>
      </c>
      <c r="M7" s="3" t="s">
        <v>90</v>
      </c>
      <c r="N7" s="7" t="s">
        <v>80</v>
      </c>
      <c r="O7" s="3" t="s">
        <v>81</v>
      </c>
      <c r="P7" s="7">
        <v>7</v>
      </c>
      <c r="Q7" s="10" t="s">
        <v>49</v>
      </c>
      <c r="R7" s="3" t="s">
        <v>50</v>
      </c>
      <c r="S7" s="3" t="s">
        <v>91</v>
      </c>
      <c r="T7" s="3" t="s">
        <v>92</v>
      </c>
      <c r="U7" s="7">
        <v>1</v>
      </c>
      <c r="V7" s="9" t="s">
        <v>93</v>
      </c>
      <c r="W7" s="9" t="s">
        <v>94</v>
      </c>
      <c r="X7" s="7" t="s">
        <v>40</v>
      </c>
      <c r="Y7" s="9" t="s">
        <v>13</v>
      </c>
    </row>
    <row r="8" spans="1:25" x14ac:dyDescent="0.35">
      <c r="A8" s="2" t="s">
        <v>95</v>
      </c>
      <c r="B8" s="3" t="s">
        <v>96</v>
      </c>
      <c r="C8" s="10" t="s">
        <v>97</v>
      </c>
      <c r="D8" s="5">
        <v>550</v>
      </c>
      <c r="E8" s="5">
        <f>Business_Info!$B$3</f>
        <v>20</v>
      </c>
      <c r="F8" s="6">
        <f t="shared" si="0"/>
        <v>530</v>
      </c>
      <c r="G8" s="7">
        <v>30</v>
      </c>
      <c r="H8" s="5">
        <f t="shared" si="1"/>
        <v>16500</v>
      </c>
      <c r="I8" s="7">
        <v>1</v>
      </c>
      <c r="J8" s="3" t="s">
        <v>43</v>
      </c>
      <c r="K8" s="3" t="s">
        <v>58</v>
      </c>
      <c r="L8" s="3" t="s">
        <v>45</v>
      </c>
      <c r="M8" s="3" t="s">
        <v>98</v>
      </c>
      <c r="N8" s="7" t="s">
        <v>99</v>
      </c>
      <c r="O8" s="3" t="s">
        <v>100</v>
      </c>
      <c r="P8" s="7">
        <v>23</v>
      </c>
      <c r="Q8" s="10" t="s">
        <v>49</v>
      </c>
      <c r="R8" s="3" t="s">
        <v>50</v>
      </c>
      <c r="S8" s="3" t="s">
        <v>101</v>
      </c>
      <c r="T8" s="3" t="s">
        <v>102</v>
      </c>
      <c r="U8" s="7">
        <v>1</v>
      </c>
      <c r="V8" s="9" t="s">
        <v>103</v>
      </c>
      <c r="W8" s="9" t="s">
        <v>104</v>
      </c>
      <c r="X8" s="7" t="s">
        <v>40</v>
      </c>
      <c r="Y8" s="9" t="s">
        <v>13</v>
      </c>
    </row>
    <row r="9" spans="1:25" ht="25" x14ac:dyDescent="0.35">
      <c r="A9" s="2" t="s">
        <v>105</v>
      </c>
      <c r="B9" s="3" t="s">
        <v>106</v>
      </c>
      <c r="C9" s="10" t="s">
        <v>97</v>
      </c>
      <c r="D9" s="5">
        <v>500</v>
      </c>
      <c r="E9" s="5">
        <f>Business_Info!$B$3</f>
        <v>20</v>
      </c>
      <c r="F9" s="6">
        <f t="shared" si="0"/>
        <v>480</v>
      </c>
      <c r="G9" s="7">
        <v>30</v>
      </c>
      <c r="H9" s="5">
        <f t="shared" si="1"/>
        <v>15000</v>
      </c>
      <c r="I9" s="7">
        <v>1</v>
      </c>
      <c r="J9" s="3" t="s">
        <v>43</v>
      </c>
      <c r="K9" s="3" t="s">
        <v>68</v>
      </c>
      <c r="L9" s="3" t="s">
        <v>30</v>
      </c>
      <c r="M9" s="3" t="s">
        <v>107</v>
      </c>
      <c r="N9" s="7" t="s">
        <v>99</v>
      </c>
      <c r="O9" s="3" t="s">
        <v>100</v>
      </c>
      <c r="P9" s="7">
        <v>6</v>
      </c>
      <c r="Q9" s="10" t="s">
        <v>49</v>
      </c>
      <c r="R9" s="3" t="s">
        <v>50</v>
      </c>
      <c r="S9" s="3" t="s">
        <v>108</v>
      </c>
      <c r="T9" s="3" t="s">
        <v>109</v>
      </c>
      <c r="U9" s="7">
        <v>1</v>
      </c>
      <c r="V9" s="9" t="s">
        <v>110</v>
      </c>
      <c r="W9" s="9" t="s">
        <v>111</v>
      </c>
      <c r="X9" s="7" t="s">
        <v>40</v>
      </c>
      <c r="Y9" s="9" t="s">
        <v>13</v>
      </c>
    </row>
    <row r="10" spans="1:25" ht="25" x14ac:dyDescent="0.35">
      <c r="A10" s="2" t="s">
        <v>112</v>
      </c>
      <c r="B10" s="3" t="s">
        <v>113</v>
      </c>
      <c r="C10" s="11" t="s">
        <v>114</v>
      </c>
      <c r="D10" s="5">
        <v>500</v>
      </c>
      <c r="E10" s="5">
        <f>Business_Info!$B$3</f>
        <v>20</v>
      </c>
      <c r="F10" s="6">
        <f t="shared" si="0"/>
        <v>480</v>
      </c>
      <c r="G10" s="7">
        <v>30</v>
      </c>
      <c r="H10" s="5">
        <f t="shared" si="1"/>
        <v>15000</v>
      </c>
      <c r="I10" s="7">
        <v>1</v>
      </c>
      <c r="J10" s="3" t="s">
        <v>43</v>
      </c>
      <c r="K10" s="3" t="s">
        <v>89</v>
      </c>
      <c r="L10" s="3" t="s">
        <v>30</v>
      </c>
      <c r="M10" s="3" t="s">
        <v>115</v>
      </c>
      <c r="N10" s="7" t="s">
        <v>116</v>
      </c>
      <c r="O10" s="3" t="s">
        <v>117</v>
      </c>
      <c r="P10" s="7">
        <v>0</v>
      </c>
      <c r="Q10" s="8" t="s">
        <v>34</v>
      </c>
      <c r="R10" s="3" t="s">
        <v>35</v>
      </c>
      <c r="S10" s="3" t="s">
        <v>118</v>
      </c>
      <c r="T10" s="3" t="s">
        <v>119</v>
      </c>
      <c r="U10" s="7">
        <v>1</v>
      </c>
      <c r="V10" s="9" t="s">
        <v>120</v>
      </c>
      <c r="W10" s="9" t="s">
        <v>121</v>
      </c>
      <c r="X10" s="7" t="s">
        <v>40</v>
      </c>
      <c r="Y10" s="9" t="s">
        <v>13</v>
      </c>
    </row>
    <row r="11" spans="1:25" x14ac:dyDescent="0.35">
      <c r="A11" s="2" t="s">
        <v>122</v>
      </c>
      <c r="B11" s="3" t="s">
        <v>123</v>
      </c>
      <c r="C11" s="11" t="s">
        <v>114</v>
      </c>
      <c r="D11" s="5">
        <v>450</v>
      </c>
      <c r="E11" s="5">
        <f>Business_Info!$B$3</f>
        <v>20</v>
      </c>
      <c r="F11" s="6">
        <f t="shared" si="0"/>
        <v>430</v>
      </c>
      <c r="G11" s="7">
        <v>30</v>
      </c>
      <c r="H11" s="5">
        <f t="shared" si="1"/>
        <v>13500</v>
      </c>
      <c r="I11" s="7">
        <v>1</v>
      </c>
      <c r="J11" s="3" t="s">
        <v>43</v>
      </c>
      <c r="K11" s="3" t="s">
        <v>124</v>
      </c>
      <c r="L11" s="3" t="s">
        <v>30</v>
      </c>
      <c r="M11" s="3" t="s">
        <v>115</v>
      </c>
      <c r="N11" s="7" t="s">
        <v>116</v>
      </c>
      <c r="O11" s="3" t="s">
        <v>117</v>
      </c>
      <c r="P11" s="7">
        <v>22</v>
      </c>
      <c r="Q11" s="10" t="s">
        <v>49</v>
      </c>
      <c r="R11" s="3" t="s">
        <v>50</v>
      </c>
      <c r="S11" s="3" t="s">
        <v>125</v>
      </c>
      <c r="T11" s="3" t="s">
        <v>126</v>
      </c>
      <c r="U11" s="7">
        <v>1</v>
      </c>
      <c r="V11" s="9" t="s">
        <v>127</v>
      </c>
      <c r="W11" s="9" t="s">
        <v>128</v>
      </c>
      <c r="X11" s="7" t="s">
        <v>40</v>
      </c>
      <c r="Y11" s="9" t="s">
        <v>13</v>
      </c>
    </row>
    <row r="12" spans="1:25" ht="25" x14ac:dyDescent="0.35">
      <c r="A12" s="2" t="s">
        <v>129</v>
      </c>
      <c r="B12" s="3" t="s">
        <v>130</v>
      </c>
      <c r="C12" s="4" t="s">
        <v>27</v>
      </c>
      <c r="D12" s="5">
        <v>690</v>
      </c>
      <c r="E12" s="5">
        <f>Business_Info!$B$3</f>
        <v>20</v>
      </c>
      <c r="F12" s="6">
        <f t="shared" si="0"/>
        <v>670</v>
      </c>
      <c r="G12" s="7">
        <v>24</v>
      </c>
      <c r="H12" s="5">
        <f t="shared" si="1"/>
        <v>16560</v>
      </c>
      <c r="I12" s="7">
        <v>1</v>
      </c>
      <c r="J12" s="3" t="s">
        <v>131</v>
      </c>
      <c r="K12" s="3" t="s">
        <v>132</v>
      </c>
      <c r="L12" s="3" t="s">
        <v>133</v>
      </c>
      <c r="M12" s="3" t="s">
        <v>134</v>
      </c>
      <c r="N12" s="7" t="s">
        <v>32</v>
      </c>
      <c r="O12" s="3" t="s">
        <v>135</v>
      </c>
      <c r="P12" s="7">
        <v>0</v>
      </c>
      <c r="Q12" s="8" t="s">
        <v>34</v>
      </c>
      <c r="R12" s="3" t="s">
        <v>35</v>
      </c>
      <c r="S12" s="3" t="s">
        <v>136</v>
      </c>
      <c r="T12" s="3" t="s">
        <v>137</v>
      </c>
      <c r="U12" s="7">
        <v>1</v>
      </c>
      <c r="V12" s="9" t="s">
        <v>138</v>
      </c>
      <c r="W12" s="9" t="s">
        <v>139</v>
      </c>
      <c r="X12" s="7" t="s">
        <v>40</v>
      </c>
      <c r="Y12" s="9" t="s">
        <v>140</v>
      </c>
    </row>
    <row r="13" spans="1:25" ht="25" x14ac:dyDescent="0.35">
      <c r="A13" s="2" t="s">
        <v>141</v>
      </c>
      <c r="B13" s="3" t="s">
        <v>142</v>
      </c>
      <c r="C13" s="4" t="s">
        <v>27</v>
      </c>
      <c r="D13" s="5">
        <v>760</v>
      </c>
      <c r="E13" s="5">
        <f>Business_Info!$B$3</f>
        <v>20</v>
      </c>
      <c r="F13" s="6">
        <f t="shared" si="0"/>
        <v>740</v>
      </c>
      <c r="G13" s="7">
        <v>20</v>
      </c>
      <c r="H13" s="5">
        <f t="shared" si="1"/>
        <v>15200</v>
      </c>
      <c r="I13" s="7">
        <v>1</v>
      </c>
      <c r="J13" s="3" t="s">
        <v>57</v>
      </c>
      <c r="K13" s="3" t="s">
        <v>143</v>
      </c>
      <c r="L13" s="3" t="s">
        <v>144</v>
      </c>
      <c r="M13" s="3" t="s">
        <v>145</v>
      </c>
      <c r="N13" s="7" t="s">
        <v>47</v>
      </c>
      <c r="O13" s="3" t="s">
        <v>146</v>
      </c>
      <c r="P13" s="7">
        <v>12</v>
      </c>
      <c r="Q13" s="10" t="s">
        <v>49</v>
      </c>
      <c r="R13" s="3" t="s">
        <v>50</v>
      </c>
      <c r="S13" s="3" t="s">
        <v>147</v>
      </c>
      <c r="T13" s="3" t="s">
        <v>148</v>
      </c>
      <c r="U13" s="7">
        <v>1</v>
      </c>
      <c r="V13" s="9" t="s">
        <v>149</v>
      </c>
      <c r="W13" s="9" t="s">
        <v>150</v>
      </c>
      <c r="X13" s="7" t="s">
        <v>40</v>
      </c>
      <c r="Y13" s="9" t="s">
        <v>13</v>
      </c>
    </row>
    <row r="14" spans="1:25" x14ac:dyDescent="0.35">
      <c r="A14" s="2" t="s">
        <v>151</v>
      </c>
      <c r="B14" s="3" t="s">
        <v>152</v>
      </c>
      <c r="C14" s="4" t="s">
        <v>27</v>
      </c>
      <c r="D14" s="5">
        <v>800</v>
      </c>
      <c r="E14" s="5">
        <f>Business_Info!$B$3</f>
        <v>20</v>
      </c>
      <c r="F14" s="6">
        <f t="shared" si="0"/>
        <v>780</v>
      </c>
      <c r="G14" s="7">
        <v>18</v>
      </c>
      <c r="H14" s="5">
        <f t="shared" si="1"/>
        <v>14400</v>
      </c>
      <c r="I14" s="7">
        <v>1</v>
      </c>
      <c r="J14" s="3" t="s">
        <v>153</v>
      </c>
      <c r="K14" s="3" t="s">
        <v>154</v>
      </c>
      <c r="L14" s="3" t="s">
        <v>155</v>
      </c>
      <c r="M14" s="3" t="s">
        <v>156</v>
      </c>
      <c r="N14" s="7" t="s">
        <v>47</v>
      </c>
      <c r="O14" s="3" t="s">
        <v>157</v>
      </c>
      <c r="P14" s="7">
        <v>26</v>
      </c>
      <c r="Q14" s="10" t="s">
        <v>49</v>
      </c>
      <c r="R14" s="3" t="s">
        <v>50</v>
      </c>
      <c r="S14" s="3" t="s">
        <v>158</v>
      </c>
      <c r="T14" s="3" t="s">
        <v>159</v>
      </c>
      <c r="U14" s="7">
        <v>1</v>
      </c>
      <c r="V14" s="9" t="s">
        <v>160</v>
      </c>
      <c r="W14" s="9" t="s">
        <v>161</v>
      </c>
      <c r="X14" s="7" t="s">
        <v>40</v>
      </c>
      <c r="Y14" s="9" t="s">
        <v>13</v>
      </c>
    </row>
    <row r="15" spans="1:25" ht="25" x14ac:dyDescent="0.35">
      <c r="A15" s="2" t="s">
        <v>162</v>
      </c>
      <c r="B15" s="3" t="s">
        <v>163</v>
      </c>
      <c r="C15" s="8" t="s">
        <v>66</v>
      </c>
      <c r="D15" s="5">
        <v>640</v>
      </c>
      <c r="E15" s="5">
        <f>Business_Info!$B$3</f>
        <v>20</v>
      </c>
      <c r="F15" s="6">
        <f t="shared" si="0"/>
        <v>620</v>
      </c>
      <c r="G15" s="7">
        <v>26</v>
      </c>
      <c r="H15" s="5">
        <f t="shared" si="1"/>
        <v>16640</v>
      </c>
      <c r="I15" s="7">
        <v>1</v>
      </c>
      <c r="J15" s="3" t="s">
        <v>164</v>
      </c>
      <c r="K15" s="3" t="s">
        <v>165</v>
      </c>
      <c r="L15" s="3" t="s">
        <v>166</v>
      </c>
      <c r="M15" s="3" t="s">
        <v>69</v>
      </c>
      <c r="N15" s="7" t="s">
        <v>70</v>
      </c>
      <c r="O15" s="3" t="s">
        <v>167</v>
      </c>
      <c r="P15" s="7">
        <v>11</v>
      </c>
      <c r="Q15" s="10" t="s">
        <v>49</v>
      </c>
      <c r="R15" s="3" t="s">
        <v>50</v>
      </c>
      <c r="S15" s="3" t="s">
        <v>168</v>
      </c>
      <c r="T15" s="3" t="s">
        <v>169</v>
      </c>
      <c r="U15" s="7">
        <v>1</v>
      </c>
      <c r="V15" s="9" t="s">
        <v>170</v>
      </c>
      <c r="W15" s="9" t="s">
        <v>171</v>
      </c>
      <c r="X15" s="7" t="s">
        <v>40</v>
      </c>
      <c r="Y15" s="9" t="s">
        <v>13</v>
      </c>
    </row>
    <row r="16" spans="1:25" ht="25" x14ac:dyDescent="0.35">
      <c r="A16" s="2" t="s">
        <v>172</v>
      </c>
      <c r="B16" s="3" t="s">
        <v>173</v>
      </c>
      <c r="C16" s="8" t="s">
        <v>66</v>
      </c>
      <c r="D16" s="5">
        <v>730</v>
      </c>
      <c r="E16" s="5">
        <f>Business_Info!$B$3</f>
        <v>20</v>
      </c>
      <c r="F16" s="6">
        <f t="shared" si="0"/>
        <v>710</v>
      </c>
      <c r="G16" s="7">
        <v>22</v>
      </c>
      <c r="H16" s="5">
        <f t="shared" si="1"/>
        <v>16060</v>
      </c>
      <c r="I16" s="7">
        <v>1</v>
      </c>
      <c r="J16" s="3" t="s">
        <v>174</v>
      </c>
      <c r="K16" s="3" t="s">
        <v>175</v>
      </c>
      <c r="L16" s="3" t="s">
        <v>176</v>
      </c>
      <c r="M16" s="3" t="s">
        <v>177</v>
      </c>
      <c r="N16" s="7" t="s">
        <v>80</v>
      </c>
      <c r="O16" s="3" t="s">
        <v>178</v>
      </c>
      <c r="P16" s="7">
        <v>11</v>
      </c>
      <c r="Q16" s="10" t="s">
        <v>49</v>
      </c>
      <c r="R16" s="3" t="s">
        <v>50</v>
      </c>
      <c r="S16" s="3" t="s">
        <v>179</v>
      </c>
      <c r="T16" s="3" t="s">
        <v>180</v>
      </c>
      <c r="U16" s="7">
        <v>1</v>
      </c>
      <c r="V16" s="9" t="s">
        <v>181</v>
      </c>
      <c r="W16" s="9" t="s">
        <v>182</v>
      </c>
      <c r="X16" s="7" t="s">
        <v>40</v>
      </c>
      <c r="Y16" s="9" t="s">
        <v>13</v>
      </c>
    </row>
    <row r="17" spans="1:25" x14ac:dyDescent="0.35">
      <c r="A17" s="2" t="s">
        <v>183</v>
      </c>
      <c r="B17" s="3" t="s">
        <v>184</v>
      </c>
      <c r="C17" s="8" t="s">
        <v>66</v>
      </c>
      <c r="D17" s="5">
        <v>790</v>
      </c>
      <c r="E17" s="5">
        <f>Business_Info!$B$3</f>
        <v>20</v>
      </c>
      <c r="F17" s="6">
        <f t="shared" si="0"/>
        <v>770</v>
      </c>
      <c r="G17" s="7">
        <v>16</v>
      </c>
      <c r="H17" s="5">
        <f t="shared" si="1"/>
        <v>12640</v>
      </c>
      <c r="I17" s="7">
        <v>1</v>
      </c>
      <c r="J17" s="3" t="s">
        <v>185</v>
      </c>
      <c r="K17" s="3" t="s">
        <v>186</v>
      </c>
      <c r="L17" s="3" t="s">
        <v>187</v>
      </c>
      <c r="M17" s="3" t="s">
        <v>188</v>
      </c>
      <c r="N17" s="7" t="s">
        <v>70</v>
      </c>
      <c r="O17" s="3" t="s">
        <v>189</v>
      </c>
      <c r="P17" s="7">
        <v>2</v>
      </c>
      <c r="Q17" s="11" t="s">
        <v>190</v>
      </c>
      <c r="R17" s="3" t="s">
        <v>50</v>
      </c>
      <c r="S17" s="3" t="s">
        <v>191</v>
      </c>
      <c r="T17" s="3" t="s">
        <v>192</v>
      </c>
      <c r="U17" s="7">
        <v>1</v>
      </c>
      <c r="V17" s="9" t="s">
        <v>193</v>
      </c>
      <c r="W17" s="9" t="s">
        <v>194</v>
      </c>
      <c r="X17" s="7" t="s">
        <v>40</v>
      </c>
      <c r="Y17" s="9" t="s">
        <v>13</v>
      </c>
    </row>
    <row r="18" spans="1:25" ht="25" x14ac:dyDescent="0.35">
      <c r="A18" s="2" t="s">
        <v>195</v>
      </c>
      <c r="B18" s="3" t="s">
        <v>196</v>
      </c>
      <c r="C18" s="10" t="s">
        <v>97</v>
      </c>
      <c r="D18" s="5">
        <v>480</v>
      </c>
      <c r="E18" s="5">
        <f>Business_Info!$B$3</f>
        <v>20</v>
      </c>
      <c r="F18" s="6">
        <f t="shared" si="0"/>
        <v>460</v>
      </c>
      <c r="G18" s="7">
        <v>30</v>
      </c>
      <c r="H18" s="5">
        <f t="shared" si="1"/>
        <v>14400</v>
      </c>
      <c r="I18" s="7">
        <v>1</v>
      </c>
      <c r="J18" s="3" t="s">
        <v>197</v>
      </c>
      <c r="K18" s="3" t="s">
        <v>198</v>
      </c>
      <c r="L18" s="3" t="s">
        <v>199</v>
      </c>
      <c r="M18" s="3" t="s">
        <v>200</v>
      </c>
      <c r="N18" s="7" t="s">
        <v>116</v>
      </c>
      <c r="O18" s="3" t="s">
        <v>117</v>
      </c>
      <c r="P18" s="7">
        <v>30</v>
      </c>
      <c r="Q18" s="10" t="s">
        <v>49</v>
      </c>
      <c r="R18" s="3" t="s">
        <v>50</v>
      </c>
      <c r="S18" s="3" t="s">
        <v>201</v>
      </c>
      <c r="T18" s="3" t="s">
        <v>202</v>
      </c>
      <c r="U18" s="7">
        <v>1</v>
      </c>
      <c r="V18" s="9" t="s">
        <v>203</v>
      </c>
      <c r="W18" s="9" t="s">
        <v>204</v>
      </c>
      <c r="X18" s="7" t="s">
        <v>40</v>
      </c>
      <c r="Y18" s="9" t="s">
        <v>13</v>
      </c>
    </row>
    <row r="19" spans="1:25" ht="25" x14ac:dyDescent="0.35">
      <c r="A19" s="2" t="s">
        <v>205</v>
      </c>
      <c r="B19" s="3" t="s">
        <v>206</v>
      </c>
      <c r="C19" s="10" t="s">
        <v>97</v>
      </c>
      <c r="D19" s="5">
        <v>560</v>
      </c>
      <c r="E19" s="5">
        <f>Business_Info!$B$3</f>
        <v>20</v>
      </c>
      <c r="F19" s="6">
        <f t="shared" si="0"/>
        <v>540</v>
      </c>
      <c r="G19" s="7">
        <v>28</v>
      </c>
      <c r="H19" s="5">
        <f t="shared" si="1"/>
        <v>15680</v>
      </c>
      <c r="I19" s="7">
        <v>1</v>
      </c>
      <c r="J19" s="3" t="s">
        <v>43</v>
      </c>
      <c r="K19" s="3" t="s">
        <v>207</v>
      </c>
      <c r="L19" s="3" t="s">
        <v>208</v>
      </c>
      <c r="M19" s="3" t="s">
        <v>209</v>
      </c>
      <c r="N19" s="7" t="s">
        <v>99</v>
      </c>
      <c r="O19" s="3" t="s">
        <v>210</v>
      </c>
      <c r="P19" s="7">
        <v>24</v>
      </c>
      <c r="Q19" s="10" t="s">
        <v>49</v>
      </c>
      <c r="R19" s="3" t="s">
        <v>50</v>
      </c>
      <c r="S19" s="3" t="s">
        <v>211</v>
      </c>
      <c r="T19" s="3" t="s">
        <v>212</v>
      </c>
      <c r="U19" s="7">
        <v>1</v>
      </c>
      <c r="V19" s="9" t="s">
        <v>213</v>
      </c>
      <c r="W19" s="9" t="s">
        <v>214</v>
      </c>
      <c r="X19" s="7" t="s">
        <v>40</v>
      </c>
      <c r="Y19" s="9" t="s">
        <v>13</v>
      </c>
    </row>
    <row r="20" spans="1:25" ht="25" x14ac:dyDescent="0.35">
      <c r="A20" s="2" t="s">
        <v>215</v>
      </c>
      <c r="B20" s="3" t="s">
        <v>216</v>
      </c>
      <c r="C20" s="11" t="s">
        <v>114</v>
      </c>
      <c r="D20" s="5">
        <v>430</v>
      </c>
      <c r="E20" s="5">
        <f>Business_Info!$B$3</f>
        <v>20</v>
      </c>
      <c r="F20" s="6">
        <f t="shared" si="0"/>
        <v>410</v>
      </c>
      <c r="G20" s="7">
        <v>32</v>
      </c>
      <c r="H20" s="5">
        <f t="shared" si="1"/>
        <v>13760</v>
      </c>
      <c r="I20" s="7">
        <v>1</v>
      </c>
      <c r="J20" s="3" t="s">
        <v>217</v>
      </c>
      <c r="K20" s="3" t="s">
        <v>218</v>
      </c>
      <c r="L20" s="3" t="s">
        <v>219</v>
      </c>
      <c r="M20" s="3" t="s">
        <v>220</v>
      </c>
      <c r="N20" s="7" t="s">
        <v>221</v>
      </c>
      <c r="O20" s="3" t="s">
        <v>222</v>
      </c>
      <c r="P20" s="7">
        <v>10</v>
      </c>
      <c r="Q20" s="10" t="s">
        <v>49</v>
      </c>
      <c r="R20" s="3" t="s">
        <v>50</v>
      </c>
      <c r="S20" s="3" t="s">
        <v>223</v>
      </c>
      <c r="T20" s="3" t="s">
        <v>224</v>
      </c>
      <c r="U20" s="7">
        <v>1</v>
      </c>
      <c r="V20" s="9" t="s">
        <v>225</v>
      </c>
      <c r="W20" s="9" t="s">
        <v>226</v>
      </c>
      <c r="X20" s="7" t="s">
        <v>40</v>
      </c>
      <c r="Y20" s="9" t="s">
        <v>13</v>
      </c>
    </row>
    <row r="21" spans="1:25" ht="25" x14ac:dyDescent="0.35">
      <c r="A21" s="2" t="s">
        <v>227</v>
      </c>
      <c r="B21" s="3" t="s">
        <v>228</v>
      </c>
      <c r="C21" s="11" t="s">
        <v>114</v>
      </c>
      <c r="D21" s="5">
        <v>590</v>
      </c>
      <c r="E21" s="5">
        <f>Business_Info!$B$3</f>
        <v>20</v>
      </c>
      <c r="F21" s="6">
        <f t="shared" si="0"/>
        <v>570</v>
      </c>
      <c r="G21" s="7">
        <v>24</v>
      </c>
      <c r="H21" s="5">
        <f t="shared" si="1"/>
        <v>14160</v>
      </c>
      <c r="I21" s="7">
        <v>1</v>
      </c>
      <c r="J21" s="3" t="s">
        <v>229</v>
      </c>
      <c r="K21" s="3" t="s">
        <v>175</v>
      </c>
      <c r="L21" s="3" t="s">
        <v>230</v>
      </c>
      <c r="M21" s="3" t="s">
        <v>231</v>
      </c>
      <c r="N21" s="7" t="s">
        <v>116</v>
      </c>
      <c r="O21" s="3" t="s">
        <v>232</v>
      </c>
      <c r="P21" s="7">
        <v>37</v>
      </c>
      <c r="Q21" s="10" t="s">
        <v>49</v>
      </c>
      <c r="R21" s="3" t="s">
        <v>50</v>
      </c>
      <c r="S21" s="3" t="s">
        <v>233</v>
      </c>
      <c r="T21" s="3" t="s">
        <v>234</v>
      </c>
      <c r="U21" s="7">
        <v>1</v>
      </c>
      <c r="V21" s="9" t="s">
        <v>235</v>
      </c>
      <c r="W21" s="9" t="s">
        <v>236</v>
      </c>
      <c r="X21" s="7" t="s">
        <v>40</v>
      </c>
      <c r="Y21" s="9" t="s">
        <v>13</v>
      </c>
    </row>
    <row r="22" spans="1:25" ht="25" x14ac:dyDescent="0.35">
      <c r="A22" s="2" t="s">
        <v>237</v>
      </c>
      <c r="B22" s="3" t="s">
        <v>238</v>
      </c>
      <c r="C22" s="4" t="s">
        <v>27</v>
      </c>
      <c r="D22" s="5">
        <v>720</v>
      </c>
      <c r="E22" s="5">
        <f>Business_Info!$B$3</f>
        <v>20</v>
      </c>
      <c r="F22" s="6">
        <f t="shared" si="0"/>
        <v>700</v>
      </c>
      <c r="G22" s="7">
        <v>26</v>
      </c>
      <c r="H22" s="5">
        <f t="shared" si="1"/>
        <v>18720</v>
      </c>
      <c r="I22" s="7">
        <v>1</v>
      </c>
      <c r="J22" s="3" t="s">
        <v>239</v>
      </c>
      <c r="K22" s="3" t="s">
        <v>240</v>
      </c>
      <c r="L22" s="3" t="s">
        <v>241</v>
      </c>
      <c r="M22" s="3" t="s">
        <v>242</v>
      </c>
      <c r="N22" s="7" t="s">
        <v>32</v>
      </c>
      <c r="O22" s="3" t="s">
        <v>243</v>
      </c>
      <c r="P22" s="7">
        <v>33</v>
      </c>
      <c r="Q22" s="10" t="s">
        <v>49</v>
      </c>
      <c r="R22" s="3" t="s">
        <v>50</v>
      </c>
      <c r="S22" s="3" t="s">
        <v>244</v>
      </c>
      <c r="T22" s="3" t="s">
        <v>245</v>
      </c>
      <c r="U22" s="7">
        <v>2</v>
      </c>
      <c r="V22" s="9" t="s">
        <v>246</v>
      </c>
      <c r="W22" s="9" t="s">
        <v>247</v>
      </c>
      <c r="X22" s="7" t="s">
        <v>40</v>
      </c>
      <c r="Y22" s="9" t="s">
        <v>140</v>
      </c>
    </row>
    <row r="23" spans="1:25" ht="25" x14ac:dyDescent="0.35">
      <c r="A23" s="2" t="s">
        <v>248</v>
      </c>
      <c r="B23" s="3" t="s">
        <v>249</v>
      </c>
      <c r="C23" s="4" t="s">
        <v>27</v>
      </c>
      <c r="D23" s="5">
        <v>680</v>
      </c>
      <c r="E23" s="5">
        <f>Business_Info!$B$3</f>
        <v>20</v>
      </c>
      <c r="F23" s="6">
        <f t="shared" si="0"/>
        <v>660</v>
      </c>
      <c r="G23" s="7">
        <v>22</v>
      </c>
      <c r="H23" s="5">
        <f t="shared" si="1"/>
        <v>14960</v>
      </c>
      <c r="I23" s="7">
        <v>1</v>
      </c>
      <c r="J23" s="3" t="s">
        <v>250</v>
      </c>
      <c r="K23" s="3" t="s">
        <v>251</v>
      </c>
      <c r="L23" s="3" t="s">
        <v>252</v>
      </c>
      <c r="M23" s="3" t="s">
        <v>253</v>
      </c>
      <c r="N23" s="7" t="s">
        <v>47</v>
      </c>
      <c r="O23" s="3" t="s">
        <v>254</v>
      </c>
      <c r="P23" s="7">
        <v>31</v>
      </c>
      <c r="Q23" s="10" t="s">
        <v>49</v>
      </c>
      <c r="R23" s="3" t="s">
        <v>50</v>
      </c>
      <c r="S23" s="3" t="s">
        <v>255</v>
      </c>
      <c r="T23" s="3" t="s">
        <v>256</v>
      </c>
      <c r="U23" s="7">
        <v>2</v>
      </c>
      <c r="V23" s="9" t="s">
        <v>257</v>
      </c>
      <c r="W23" s="9" t="s">
        <v>258</v>
      </c>
      <c r="X23" s="7" t="s">
        <v>40</v>
      </c>
      <c r="Y23" s="9" t="s">
        <v>13</v>
      </c>
    </row>
    <row r="24" spans="1:25" x14ac:dyDescent="0.35">
      <c r="A24" s="2" t="s">
        <v>259</v>
      </c>
      <c r="B24" s="3" t="s">
        <v>260</v>
      </c>
      <c r="C24" s="4" t="s">
        <v>27</v>
      </c>
      <c r="D24" s="5">
        <v>790</v>
      </c>
      <c r="E24" s="5">
        <f>Business_Info!$B$3</f>
        <v>20</v>
      </c>
      <c r="F24" s="6">
        <f t="shared" si="0"/>
        <v>770</v>
      </c>
      <c r="G24" s="7">
        <v>18</v>
      </c>
      <c r="H24" s="5">
        <f t="shared" si="1"/>
        <v>14220</v>
      </c>
      <c r="I24" s="7">
        <v>1</v>
      </c>
      <c r="J24" s="3" t="s">
        <v>261</v>
      </c>
      <c r="K24" s="3" t="s">
        <v>262</v>
      </c>
      <c r="L24" s="3" t="s">
        <v>263</v>
      </c>
      <c r="M24" s="3" t="s">
        <v>264</v>
      </c>
      <c r="N24" s="7" t="s">
        <v>32</v>
      </c>
      <c r="O24" s="3" t="s">
        <v>265</v>
      </c>
      <c r="P24" s="7">
        <v>35</v>
      </c>
      <c r="Q24" s="10" t="s">
        <v>49</v>
      </c>
      <c r="R24" s="3" t="s">
        <v>50</v>
      </c>
      <c r="S24" s="3" t="s">
        <v>266</v>
      </c>
      <c r="T24" s="3" t="s">
        <v>267</v>
      </c>
      <c r="U24" s="7">
        <v>2</v>
      </c>
      <c r="V24" s="9" t="s">
        <v>268</v>
      </c>
      <c r="W24" s="9" t="s">
        <v>269</v>
      </c>
      <c r="X24" s="7" t="s">
        <v>40</v>
      </c>
      <c r="Y24" s="9" t="s">
        <v>13</v>
      </c>
    </row>
    <row r="25" spans="1:25" ht="25" x14ac:dyDescent="0.35">
      <c r="A25" s="2" t="s">
        <v>270</v>
      </c>
      <c r="B25" s="3" t="s">
        <v>271</v>
      </c>
      <c r="C25" s="8" t="s">
        <v>66</v>
      </c>
      <c r="D25" s="5">
        <v>650</v>
      </c>
      <c r="E25" s="5">
        <f>Business_Info!$B$3</f>
        <v>20</v>
      </c>
      <c r="F25" s="6">
        <f t="shared" si="0"/>
        <v>630</v>
      </c>
      <c r="G25" s="7">
        <v>24</v>
      </c>
      <c r="H25" s="5">
        <f t="shared" si="1"/>
        <v>15600</v>
      </c>
      <c r="I25" s="7">
        <v>1</v>
      </c>
      <c r="J25" s="3" t="s">
        <v>272</v>
      </c>
      <c r="K25" s="3" t="s">
        <v>175</v>
      </c>
      <c r="L25" s="3" t="s">
        <v>273</v>
      </c>
      <c r="M25" s="3" t="s">
        <v>274</v>
      </c>
      <c r="N25" s="7" t="s">
        <v>70</v>
      </c>
      <c r="O25" s="3" t="s">
        <v>275</v>
      </c>
      <c r="P25" s="7">
        <v>26</v>
      </c>
      <c r="Q25" s="10" t="s">
        <v>49</v>
      </c>
      <c r="R25" s="3" t="s">
        <v>50</v>
      </c>
      <c r="S25" s="3" t="s">
        <v>276</v>
      </c>
      <c r="T25" s="3" t="s">
        <v>277</v>
      </c>
      <c r="U25" s="7">
        <v>2</v>
      </c>
      <c r="V25" s="9" t="s">
        <v>278</v>
      </c>
      <c r="W25" s="9" t="s">
        <v>279</v>
      </c>
      <c r="X25" s="7" t="s">
        <v>40</v>
      </c>
      <c r="Y25" s="9" t="s">
        <v>13</v>
      </c>
    </row>
    <row r="26" spans="1:25" ht="25" x14ac:dyDescent="0.35">
      <c r="A26" s="2" t="s">
        <v>280</v>
      </c>
      <c r="B26" s="3" t="s">
        <v>281</v>
      </c>
      <c r="C26" s="8" t="s">
        <v>66</v>
      </c>
      <c r="D26" s="5">
        <v>760</v>
      </c>
      <c r="E26" s="5">
        <f>Business_Info!$B$3</f>
        <v>20</v>
      </c>
      <c r="F26" s="6">
        <f t="shared" si="0"/>
        <v>740</v>
      </c>
      <c r="G26" s="7">
        <v>20</v>
      </c>
      <c r="H26" s="5">
        <f t="shared" si="1"/>
        <v>15200</v>
      </c>
      <c r="I26" s="7">
        <v>1</v>
      </c>
      <c r="J26" s="3" t="s">
        <v>78</v>
      </c>
      <c r="K26" s="3" t="s">
        <v>282</v>
      </c>
      <c r="L26" s="3" t="s">
        <v>283</v>
      </c>
      <c r="M26" s="3" t="s">
        <v>284</v>
      </c>
      <c r="N26" s="7" t="s">
        <v>80</v>
      </c>
      <c r="O26" s="3" t="s">
        <v>285</v>
      </c>
      <c r="P26" s="7">
        <v>9</v>
      </c>
      <c r="Q26" s="10" t="s">
        <v>49</v>
      </c>
      <c r="R26" s="3" t="s">
        <v>50</v>
      </c>
      <c r="S26" s="3" t="s">
        <v>286</v>
      </c>
      <c r="T26" s="3" t="s">
        <v>287</v>
      </c>
      <c r="U26" s="7">
        <v>2</v>
      </c>
      <c r="V26" s="9" t="s">
        <v>288</v>
      </c>
      <c r="W26" s="9" t="s">
        <v>289</v>
      </c>
      <c r="X26" s="7" t="s">
        <v>40</v>
      </c>
      <c r="Y26" s="9" t="s">
        <v>13</v>
      </c>
    </row>
    <row r="27" spans="1:25" ht="25" x14ac:dyDescent="0.35">
      <c r="A27" s="2" t="s">
        <v>290</v>
      </c>
      <c r="B27" s="3" t="s">
        <v>291</v>
      </c>
      <c r="C27" s="8" t="s">
        <v>66</v>
      </c>
      <c r="D27" s="5">
        <v>700</v>
      </c>
      <c r="E27" s="5">
        <f>Business_Info!$B$3</f>
        <v>20</v>
      </c>
      <c r="F27" s="6">
        <f t="shared" si="0"/>
        <v>680</v>
      </c>
      <c r="G27" s="7">
        <v>18</v>
      </c>
      <c r="H27" s="5">
        <f t="shared" si="1"/>
        <v>12600</v>
      </c>
      <c r="I27" s="7">
        <v>1</v>
      </c>
      <c r="J27" s="3" t="s">
        <v>292</v>
      </c>
      <c r="K27" s="3" t="s">
        <v>293</v>
      </c>
      <c r="L27" s="3" t="s">
        <v>155</v>
      </c>
      <c r="M27" s="3" t="s">
        <v>294</v>
      </c>
      <c r="N27" s="7" t="s">
        <v>70</v>
      </c>
      <c r="O27" s="3" t="s">
        <v>295</v>
      </c>
      <c r="P27" s="7">
        <v>3</v>
      </c>
      <c r="Q27" s="11" t="s">
        <v>190</v>
      </c>
      <c r="R27" s="3" t="s">
        <v>50</v>
      </c>
      <c r="S27" s="3" t="s">
        <v>296</v>
      </c>
      <c r="T27" s="3" t="s">
        <v>297</v>
      </c>
      <c r="U27" s="7">
        <v>2</v>
      </c>
      <c r="V27" s="9" t="s">
        <v>298</v>
      </c>
      <c r="W27" s="9" t="s">
        <v>299</v>
      </c>
      <c r="X27" s="7" t="s">
        <v>40</v>
      </c>
      <c r="Y27" s="9" t="s">
        <v>13</v>
      </c>
    </row>
    <row r="28" spans="1:25" ht="25" x14ac:dyDescent="0.35">
      <c r="A28" s="2" t="s">
        <v>300</v>
      </c>
      <c r="B28" s="3" t="s">
        <v>301</v>
      </c>
      <c r="C28" s="10" t="s">
        <v>97</v>
      </c>
      <c r="D28" s="5">
        <v>490</v>
      </c>
      <c r="E28" s="5">
        <f>Business_Info!$B$3</f>
        <v>20</v>
      </c>
      <c r="F28" s="6">
        <f t="shared" si="0"/>
        <v>470</v>
      </c>
      <c r="G28" s="7">
        <v>30</v>
      </c>
      <c r="H28" s="5">
        <f t="shared" si="1"/>
        <v>14700</v>
      </c>
      <c r="I28" s="7">
        <v>1</v>
      </c>
      <c r="J28" s="3" t="s">
        <v>197</v>
      </c>
      <c r="K28" s="3" t="s">
        <v>132</v>
      </c>
      <c r="L28" s="3" t="s">
        <v>199</v>
      </c>
      <c r="M28" s="3" t="s">
        <v>302</v>
      </c>
      <c r="N28" s="7" t="s">
        <v>116</v>
      </c>
      <c r="O28" s="3" t="s">
        <v>117</v>
      </c>
      <c r="P28" s="7">
        <v>24</v>
      </c>
      <c r="Q28" s="10" t="s">
        <v>49</v>
      </c>
      <c r="R28" s="3" t="s">
        <v>50</v>
      </c>
      <c r="S28" s="3" t="s">
        <v>303</v>
      </c>
      <c r="T28" s="3" t="s">
        <v>304</v>
      </c>
      <c r="U28" s="7">
        <v>2</v>
      </c>
      <c r="V28" s="9" t="s">
        <v>305</v>
      </c>
      <c r="W28" s="9" t="s">
        <v>306</v>
      </c>
      <c r="X28" s="7" t="s">
        <v>40</v>
      </c>
      <c r="Y28" s="9" t="s">
        <v>13</v>
      </c>
    </row>
    <row r="29" spans="1:25" ht="25" x14ac:dyDescent="0.35">
      <c r="A29" s="2" t="s">
        <v>307</v>
      </c>
      <c r="B29" s="3" t="s">
        <v>308</v>
      </c>
      <c r="C29" s="10" t="s">
        <v>97</v>
      </c>
      <c r="D29" s="5">
        <v>570</v>
      </c>
      <c r="E29" s="5">
        <f>Business_Info!$B$3</f>
        <v>20</v>
      </c>
      <c r="F29" s="6">
        <f t="shared" si="0"/>
        <v>550</v>
      </c>
      <c r="G29" s="7">
        <v>28</v>
      </c>
      <c r="H29" s="5">
        <f t="shared" si="1"/>
        <v>15960</v>
      </c>
      <c r="I29" s="7">
        <v>1</v>
      </c>
      <c r="J29" s="3" t="s">
        <v>43</v>
      </c>
      <c r="K29" s="3" t="s">
        <v>309</v>
      </c>
      <c r="L29" s="3" t="s">
        <v>310</v>
      </c>
      <c r="M29" s="3" t="s">
        <v>311</v>
      </c>
      <c r="N29" s="7" t="s">
        <v>99</v>
      </c>
      <c r="O29" s="3" t="s">
        <v>210</v>
      </c>
      <c r="P29" s="7">
        <v>25</v>
      </c>
      <c r="Q29" s="10" t="s">
        <v>49</v>
      </c>
      <c r="R29" s="3" t="s">
        <v>50</v>
      </c>
      <c r="S29" s="3" t="s">
        <v>312</v>
      </c>
      <c r="T29" s="3" t="s">
        <v>313</v>
      </c>
      <c r="U29" s="7">
        <v>2</v>
      </c>
      <c r="V29" s="9" t="s">
        <v>314</v>
      </c>
      <c r="W29" s="9" t="s">
        <v>315</v>
      </c>
      <c r="X29" s="7" t="s">
        <v>40</v>
      </c>
      <c r="Y29" s="9" t="s">
        <v>316</v>
      </c>
    </row>
    <row r="30" spans="1:25" ht="25" x14ac:dyDescent="0.35">
      <c r="A30" s="2" t="s">
        <v>317</v>
      </c>
      <c r="B30" s="3" t="s">
        <v>318</v>
      </c>
      <c r="C30" s="11" t="s">
        <v>114</v>
      </c>
      <c r="D30" s="5">
        <v>440</v>
      </c>
      <c r="E30" s="5">
        <f>Business_Info!$B$3</f>
        <v>20</v>
      </c>
      <c r="F30" s="6">
        <f t="shared" si="0"/>
        <v>420</v>
      </c>
      <c r="G30" s="7">
        <v>32</v>
      </c>
      <c r="H30" s="5">
        <f t="shared" si="1"/>
        <v>14080</v>
      </c>
      <c r="I30" s="7">
        <v>1</v>
      </c>
      <c r="J30" s="3" t="s">
        <v>319</v>
      </c>
      <c r="K30" s="3" t="s">
        <v>29</v>
      </c>
      <c r="L30" s="3" t="s">
        <v>219</v>
      </c>
      <c r="M30" s="3" t="s">
        <v>320</v>
      </c>
      <c r="N30" s="7" t="s">
        <v>221</v>
      </c>
      <c r="O30" s="3" t="s">
        <v>222</v>
      </c>
      <c r="P30" s="7">
        <v>0</v>
      </c>
      <c r="Q30" s="8" t="s">
        <v>34</v>
      </c>
      <c r="R30" s="3" t="s">
        <v>35</v>
      </c>
      <c r="S30" s="3" t="s">
        <v>321</v>
      </c>
      <c r="T30" s="3" t="s">
        <v>322</v>
      </c>
      <c r="U30" s="7">
        <v>2</v>
      </c>
      <c r="V30" s="9" t="s">
        <v>323</v>
      </c>
      <c r="W30" s="9" t="s">
        <v>324</v>
      </c>
      <c r="X30" s="7" t="s">
        <v>40</v>
      </c>
      <c r="Y30" s="9" t="s">
        <v>13</v>
      </c>
    </row>
    <row r="31" spans="1:25" ht="25" x14ac:dyDescent="0.35">
      <c r="A31" s="2" t="s">
        <v>325</v>
      </c>
      <c r="B31" s="3" t="s">
        <v>326</v>
      </c>
      <c r="C31" s="11" t="s">
        <v>114</v>
      </c>
      <c r="D31" s="5">
        <v>580</v>
      </c>
      <c r="E31" s="5">
        <f>Business_Info!$B$3</f>
        <v>20</v>
      </c>
      <c r="F31" s="6">
        <f t="shared" si="0"/>
        <v>560</v>
      </c>
      <c r="G31" s="7">
        <v>24</v>
      </c>
      <c r="H31" s="5">
        <f t="shared" si="1"/>
        <v>13920</v>
      </c>
      <c r="I31" s="7">
        <v>1</v>
      </c>
      <c r="J31" s="3" t="s">
        <v>229</v>
      </c>
      <c r="K31" s="3" t="s">
        <v>327</v>
      </c>
      <c r="L31" s="3" t="s">
        <v>328</v>
      </c>
      <c r="M31" s="3" t="s">
        <v>329</v>
      </c>
      <c r="N31" s="7" t="s">
        <v>116</v>
      </c>
      <c r="O31" s="3" t="s">
        <v>232</v>
      </c>
      <c r="P31" s="7">
        <v>13</v>
      </c>
      <c r="Q31" s="10" t="s">
        <v>49</v>
      </c>
      <c r="R31" s="3" t="s">
        <v>50</v>
      </c>
      <c r="S31" s="3" t="s">
        <v>330</v>
      </c>
      <c r="T31" s="3" t="s">
        <v>331</v>
      </c>
      <c r="U31" s="7">
        <v>2</v>
      </c>
      <c r="V31" s="9" t="s">
        <v>332</v>
      </c>
      <c r="W31" s="9" t="s">
        <v>333</v>
      </c>
      <c r="X31" s="7" t="s">
        <v>40</v>
      </c>
      <c r="Y31" s="9" t="s">
        <v>316</v>
      </c>
    </row>
    <row r="32" spans="1:25" ht="25" x14ac:dyDescent="0.35">
      <c r="A32" s="2" t="s">
        <v>334</v>
      </c>
      <c r="B32" s="3" t="s">
        <v>335</v>
      </c>
      <c r="C32" s="4" t="s">
        <v>27</v>
      </c>
      <c r="D32" s="5">
        <v>690</v>
      </c>
      <c r="E32" s="5">
        <f>Business_Info!$B$3</f>
        <v>20</v>
      </c>
      <c r="F32" s="6">
        <f t="shared" si="0"/>
        <v>670</v>
      </c>
      <c r="G32" s="7">
        <v>24</v>
      </c>
      <c r="H32" s="5">
        <f t="shared" si="1"/>
        <v>16560</v>
      </c>
      <c r="I32" s="7">
        <v>1</v>
      </c>
      <c r="J32" s="3" t="s">
        <v>336</v>
      </c>
      <c r="K32" s="3" t="s">
        <v>337</v>
      </c>
      <c r="L32" s="3" t="s">
        <v>338</v>
      </c>
      <c r="M32" s="3" t="s">
        <v>339</v>
      </c>
      <c r="N32" s="7" t="s">
        <v>32</v>
      </c>
      <c r="O32" s="3" t="s">
        <v>135</v>
      </c>
      <c r="P32" s="7">
        <v>32</v>
      </c>
      <c r="Q32" s="10" t="s">
        <v>49</v>
      </c>
      <c r="R32" s="3" t="s">
        <v>50</v>
      </c>
      <c r="S32" s="3" t="s">
        <v>340</v>
      </c>
      <c r="T32" s="3" t="s">
        <v>341</v>
      </c>
      <c r="U32" s="7">
        <v>2</v>
      </c>
      <c r="V32" s="9" t="s">
        <v>342</v>
      </c>
      <c r="W32" s="9" t="s">
        <v>343</v>
      </c>
      <c r="X32" s="7" t="s">
        <v>40</v>
      </c>
      <c r="Y32" s="9" t="s">
        <v>13</v>
      </c>
    </row>
    <row r="33" spans="1:25" ht="25" x14ac:dyDescent="0.35">
      <c r="A33" s="2" t="s">
        <v>344</v>
      </c>
      <c r="B33" s="3" t="s">
        <v>142</v>
      </c>
      <c r="C33" s="4" t="s">
        <v>27</v>
      </c>
      <c r="D33" s="5">
        <v>760</v>
      </c>
      <c r="E33" s="5">
        <f>Business_Info!$B$3</f>
        <v>20</v>
      </c>
      <c r="F33" s="6">
        <f t="shared" si="0"/>
        <v>740</v>
      </c>
      <c r="G33" s="7">
        <v>20</v>
      </c>
      <c r="H33" s="5">
        <f t="shared" si="1"/>
        <v>15200</v>
      </c>
      <c r="I33" s="7">
        <v>1</v>
      </c>
      <c r="J33" s="3" t="s">
        <v>57</v>
      </c>
      <c r="K33" s="3" t="s">
        <v>143</v>
      </c>
      <c r="L33" s="3" t="s">
        <v>345</v>
      </c>
      <c r="M33" s="3" t="s">
        <v>145</v>
      </c>
      <c r="N33" s="7" t="s">
        <v>47</v>
      </c>
      <c r="O33" s="3" t="s">
        <v>146</v>
      </c>
      <c r="P33" s="7">
        <v>20</v>
      </c>
      <c r="Q33" s="10" t="s">
        <v>49</v>
      </c>
      <c r="R33" s="3" t="s">
        <v>50</v>
      </c>
      <c r="S33" s="3" t="s">
        <v>346</v>
      </c>
      <c r="T33" s="3" t="s">
        <v>347</v>
      </c>
      <c r="U33" s="7">
        <v>2</v>
      </c>
      <c r="V33" s="9" t="s">
        <v>348</v>
      </c>
      <c r="W33" s="9" t="s">
        <v>349</v>
      </c>
      <c r="X33" s="7" t="s">
        <v>40</v>
      </c>
      <c r="Y33" s="9" t="s">
        <v>13</v>
      </c>
    </row>
    <row r="34" spans="1:25" ht="25" x14ac:dyDescent="0.35">
      <c r="A34" s="2" t="s">
        <v>350</v>
      </c>
      <c r="B34" s="3" t="s">
        <v>351</v>
      </c>
      <c r="C34" s="4" t="s">
        <v>27</v>
      </c>
      <c r="D34" s="5">
        <v>800</v>
      </c>
      <c r="E34" s="5">
        <f>Business_Info!$B$3</f>
        <v>20</v>
      </c>
      <c r="F34" s="6">
        <f t="shared" ref="F34:F65" si="2">D34-E34</f>
        <v>780</v>
      </c>
      <c r="G34" s="7">
        <v>18</v>
      </c>
      <c r="H34" s="5">
        <f t="shared" ref="H34:H65" si="3">D34*G34</f>
        <v>14400</v>
      </c>
      <c r="I34" s="7">
        <v>1</v>
      </c>
      <c r="J34" s="3" t="s">
        <v>352</v>
      </c>
      <c r="K34" s="3" t="s">
        <v>282</v>
      </c>
      <c r="L34" s="3" t="s">
        <v>353</v>
      </c>
      <c r="M34" s="3" t="s">
        <v>354</v>
      </c>
      <c r="N34" s="7" t="s">
        <v>47</v>
      </c>
      <c r="O34" s="3" t="s">
        <v>157</v>
      </c>
      <c r="P34" s="7">
        <v>28</v>
      </c>
      <c r="Q34" s="10" t="s">
        <v>49</v>
      </c>
      <c r="R34" s="3" t="s">
        <v>50</v>
      </c>
      <c r="S34" s="3" t="s">
        <v>355</v>
      </c>
      <c r="T34" s="3" t="s">
        <v>356</v>
      </c>
      <c r="U34" s="7">
        <v>2</v>
      </c>
      <c r="V34" s="9" t="s">
        <v>357</v>
      </c>
      <c r="W34" s="9" t="s">
        <v>358</v>
      </c>
      <c r="X34" s="7" t="s">
        <v>40</v>
      </c>
      <c r="Y34" s="9" t="s">
        <v>13</v>
      </c>
    </row>
    <row r="35" spans="1:25" ht="25" x14ac:dyDescent="0.35">
      <c r="A35" s="2" t="s">
        <v>359</v>
      </c>
      <c r="B35" s="3" t="s">
        <v>360</v>
      </c>
      <c r="C35" s="8" t="s">
        <v>66</v>
      </c>
      <c r="D35" s="5">
        <v>650</v>
      </c>
      <c r="E35" s="5">
        <f>Business_Info!$B$3</f>
        <v>20</v>
      </c>
      <c r="F35" s="6">
        <f t="shared" si="2"/>
        <v>630</v>
      </c>
      <c r="G35" s="7">
        <v>24</v>
      </c>
      <c r="H35" s="5">
        <f t="shared" si="3"/>
        <v>15600</v>
      </c>
      <c r="I35" s="7">
        <v>1</v>
      </c>
      <c r="J35" s="3" t="s">
        <v>361</v>
      </c>
      <c r="K35" s="3" t="s">
        <v>262</v>
      </c>
      <c r="L35" s="3" t="s">
        <v>362</v>
      </c>
      <c r="M35" s="3" t="s">
        <v>69</v>
      </c>
      <c r="N35" s="7" t="s">
        <v>80</v>
      </c>
      <c r="O35" s="3" t="s">
        <v>363</v>
      </c>
      <c r="P35" s="7">
        <v>29</v>
      </c>
      <c r="Q35" s="10" t="s">
        <v>49</v>
      </c>
      <c r="R35" s="3" t="s">
        <v>50</v>
      </c>
      <c r="S35" s="3" t="s">
        <v>364</v>
      </c>
      <c r="T35" s="3" t="s">
        <v>365</v>
      </c>
      <c r="U35" s="7">
        <v>2</v>
      </c>
      <c r="V35" s="9" t="s">
        <v>366</v>
      </c>
      <c r="W35" s="9" t="s">
        <v>367</v>
      </c>
      <c r="X35" s="7" t="s">
        <v>40</v>
      </c>
      <c r="Y35" s="9" t="s">
        <v>13</v>
      </c>
    </row>
    <row r="36" spans="1:25" ht="25" x14ac:dyDescent="0.35">
      <c r="A36" s="2" t="s">
        <v>368</v>
      </c>
      <c r="B36" s="3" t="s">
        <v>369</v>
      </c>
      <c r="C36" s="8" t="s">
        <v>66</v>
      </c>
      <c r="D36" s="5">
        <v>730</v>
      </c>
      <c r="E36" s="5">
        <f>Business_Info!$B$3</f>
        <v>20</v>
      </c>
      <c r="F36" s="6">
        <f t="shared" si="2"/>
        <v>710</v>
      </c>
      <c r="G36" s="7">
        <v>22</v>
      </c>
      <c r="H36" s="5">
        <f t="shared" si="3"/>
        <v>16060</v>
      </c>
      <c r="I36" s="7">
        <v>1</v>
      </c>
      <c r="J36" s="3" t="s">
        <v>370</v>
      </c>
      <c r="K36" s="3" t="s">
        <v>29</v>
      </c>
      <c r="L36" s="3" t="s">
        <v>263</v>
      </c>
      <c r="M36" s="3" t="s">
        <v>294</v>
      </c>
      <c r="N36" s="7" t="s">
        <v>70</v>
      </c>
      <c r="O36" s="3" t="s">
        <v>371</v>
      </c>
      <c r="P36" s="7">
        <v>29</v>
      </c>
      <c r="Q36" s="10" t="s">
        <v>49</v>
      </c>
      <c r="R36" s="3" t="s">
        <v>50</v>
      </c>
      <c r="S36" s="3" t="s">
        <v>372</v>
      </c>
      <c r="T36" s="3" t="s">
        <v>373</v>
      </c>
      <c r="U36" s="7">
        <v>2</v>
      </c>
      <c r="V36" s="9" t="s">
        <v>374</v>
      </c>
      <c r="W36" s="9" t="s">
        <v>375</v>
      </c>
      <c r="X36" s="7" t="s">
        <v>40</v>
      </c>
      <c r="Y36" s="9" t="s">
        <v>13</v>
      </c>
    </row>
    <row r="37" spans="1:25" ht="25" x14ac:dyDescent="0.35">
      <c r="A37" s="2" t="s">
        <v>376</v>
      </c>
      <c r="B37" s="3" t="s">
        <v>377</v>
      </c>
      <c r="C37" s="8" t="s">
        <v>66</v>
      </c>
      <c r="D37" s="5">
        <v>790</v>
      </c>
      <c r="E37" s="5">
        <f>Business_Info!$B$3</f>
        <v>20</v>
      </c>
      <c r="F37" s="6">
        <f t="shared" si="2"/>
        <v>770</v>
      </c>
      <c r="G37" s="7">
        <v>18</v>
      </c>
      <c r="H37" s="5">
        <f t="shared" si="3"/>
        <v>14220</v>
      </c>
      <c r="I37" s="7">
        <v>1</v>
      </c>
      <c r="J37" s="3" t="s">
        <v>174</v>
      </c>
      <c r="K37" s="3" t="s">
        <v>378</v>
      </c>
      <c r="L37" s="3" t="s">
        <v>379</v>
      </c>
      <c r="M37" s="3" t="s">
        <v>339</v>
      </c>
      <c r="N37" s="7" t="s">
        <v>80</v>
      </c>
      <c r="O37" s="3" t="s">
        <v>380</v>
      </c>
      <c r="P37" s="7">
        <v>3</v>
      </c>
      <c r="Q37" s="11" t="s">
        <v>190</v>
      </c>
      <c r="R37" s="3" t="s">
        <v>50</v>
      </c>
      <c r="S37" s="3" t="s">
        <v>381</v>
      </c>
      <c r="T37" s="3" t="s">
        <v>382</v>
      </c>
      <c r="U37" s="7">
        <v>2</v>
      </c>
      <c r="V37" s="9" t="s">
        <v>383</v>
      </c>
      <c r="W37" s="9" t="s">
        <v>384</v>
      </c>
      <c r="X37" s="7" t="s">
        <v>40</v>
      </c>
      <c r="Y37" s="9" t="s">
        <v>13</v>
      </c>
    </row>
    <row r="38" spans="1:25" ht="25" x14ac:dyDescent="0.35">
      <c r="A38" s="2" t="s">
        <v>385</v>
      </c>
      <c r="B38" s="3" t="s">
        <v>386</v>
      </c>
      <c r="C38" s="10" t="s">
        <v>97</v>
      </c>
      <c r="D38" s="5">
        <v>480</v>
      </c>
      <c r="E38" s="5">
        <f>Business_Info!$B$3</f>
        <v>20</v>
      </c>
      <c r="F38" s="6">
        <f t="shared" si="2"/>
        <v>460</v>
      </c>
      <c r="G38" s="7">
        <v>30</v>
      </c>
      <c r="H38" s="5">
        <f t="shared" si="3"/>
        <v>14400</v>
      </c>
      <c r="I38" s="7">
        <v>1</v>
      </c>
      <c r="J38" s="3" t="s">
        <v>387</v>
      </c>
      <c r="K38" s="3" t="s">
        <v>198</v>
      </c>
      <c r="L38" s="3" t="s">
        <v>199</v>
      </c>
      <c r="M38" s="3" t="s">
        <v>388</v>
      </c>
      <c r="N38" s="7" t="s">
        <v>116</v>
      </c>
      <c r="O38" s="3" t="s">
        <v>117</v>
      </c>
      <c r="P38" s="7">
        <v>37</v>
      </c>
      <c r="Q38" s="10" t="s">
        <v>49</v>
      </c>
      <c r="R38" s="3" t="s">
        <v>50</v>
      </c>
      <c r="S38" s="3" t="s">
        <v>389</v>
      </c>
      <c r="T38" s="3" t="s">
        <v>390</v>
      </c>
      <c r="U38" s="7">
        <v>2</v>
      </c>
      <c r="V38" s="9" t="s">
        <v>391</v>
      </c>
      <c r="W38" s="9" t="s">
        <v>392</v>
      </c>
      <c r="X38" s="7" t="s">
        <v>40</v>
      </c>
      <c r="Y38" s="9" t="s">
        <v>13</v>
      </c>
    </row>
    <row r="39" spans="1:25" ht="25" x14ac:dyDescent="0.35">
      <c r="A39" s="2" t="s">
        <v>393</v>
      </c>
      <c r="B39" s="3" t="s">
        <v>394</v>
      </c>
      <c r="C39" s="10" t="s">
        <v>97</v>
      </c>
      <c r="D39" s="5">
        <v>560</v>
      </c>
      <c r="E39" s="5">
        <f>Business_Info!$B$3</f>
        <v>20</v>
      </c>
      <c r="F39" s="6">
        <f t="shared" si="2"/>
        <v>540</v>
      </c>
      <c r="G39" s="7">
        <v>28</v>
      </c>
      <c r="H39" s="5">
        <f t="shared" si="3"/>
        <v>15680</v>
      </c>
      <c r="I39" s="7">
        <v>1</v>
      </c>
      <c r="J39" s="3" t="s">
        <v>43</v>
      </c>
      <c r="K39" s="3" t="s">
        <v>29</v>
      </c>
      <c r="L39" s="3" t="s">
        <v>208</v>
      </c>
      <c r="M39" s="3" t="s">
        <v>395</v>
      </c>
      <c r="N39" s="7" t="s">
        <v>99</v>
      </c>
      <c r="O39" s="3" t="s">
        <v>210</v>
      </c>
      <c r="P39" s="7">
        <v>2</v>
      </c>
      <c r="Q39" s="11" t="s">
        <v>190</v>
      </c>
      <c r="R39" s="3" t="s">
        <v>50</v>
      </c>
      <c r="S39" s="3" t="s">
        <v>396</v>
      </c>
      <c r="T39" s="3" t="s">
        <v>397</v>
      </c>
      <c r="U39" s="7">
        <v>2</v>
      </c>
      <c r="V39" s="9" t="s">
        <v>398</v>
      </c>
      <c r="W39" s="9" t="s">
        <v>399</v>
      </c>
      <c r="X39" s="7" t="s">
        <v>40</v>
      </c>
      <c r="Y39" s="9" t="s">
        <v>13</v>
      </c>
    </row>
    <row r="40" spans="1:25" ht="25" x14ac:dyDescent="0.35">
      <c r="A40" s="2" t="s">
        <v>400</v>
      </c>
      <c r="B40" s="3" t="s">
        <v>401</v>
      </c>
      <c r="C40" s="11" t="s">
        <v>114</v>
      </c>
      <c r="D40" s="5">
        <v>430</v>
      </c>
      <c r="E40" s="5">
        <f>Business_Info!$B$3</f>
        <v>20</v>
      </c>
      <c r="F40" s="6">
        <f t="shared" si="2"/>
        <v>410</v>
      </c>
      <c r="G40" s="7">
        <v>32</v>
      </c>
      <c r="H40" s="5">
        <f t="shared" si="3"/>
        <v>13760</v>
      </c>
      <c r="I40" s="7">
        <v>1</v>
      </c>
      <c r="J40" s="3" t="s">
        <v>319</v>
      </c>
      <c r="K40" s="3" t="s">
        <v>218</v>
      </c>
      <c r="L40" s="3" t="s">
        <v>219</v>
      </c>
      <c r="M40" s="3" t="s">
        <v>402</v>
      </c>
      <c r="N40" s="7" t="s">
        <v>221</v>
      </c>
      <c r="O40" s="3" t="s">
        <v>222</v>
      </c>
      <c r="P40" s="7">
        <v>6</v>
      </c>
      <c r="Q40" s="10" t="s">
        <v>49</v>
      </c>
      <c r="R40" s="3" t="s">
        <v>50</v>
      </c>
      <c r="S40" s="3" t="s">
        <v>403</v>
      </c>
      <c r="T40" s="3" t="s">
        <v>404</v>
      </c>
      <c r="U40" s="7">
        <v>2</v>
      </c>
      <c r="V40" s="9" t="s">
        <v>405</v>
      </c>
      <c r="W40" s="9" t="s">
        <v>406</v>
      </c>
      <c r="X40" s="7" t="s">
        <v>40</v>
      </c>
      <c r="Y40" s="9" t="s">
        <v>13</v>
      </c>
    </row>
    <row r="41" spans="1:25" ht="25" x14ac:dyDescent="0.35">
      <c r="A41" s="2" t="s">
        <v>407</v>
      </c>
      <c r="B41" s="3" t="s">
        <v>228</v>
      </c>
      <c r="C41" s="11" t="s">
        <v>114</v>
      </c>
      <c r="D41" s="5">
        <v>580</v>
      </c>
      <c r="E41" s="5">
        <f>Business_Info!$B$3</f>
        <v>20</v>
      </c>
      <c r="F41" s="6">
        <f t="shared" si="2"/>
        <v>560</v>
      </c>
      <c r="G41" s="7">
        <v>24</v>
      </c>
      <c r="H41" s="5">
        <f t="shared" si="3"/>
        <v>13920</v>
      </c>
      <c r="I41" s="7">
        <v>1</v>
      </c>
      <c r="J41" s="3" t="s">
        <v>229</v>
      </c>
      <c r="K41" s="3" t="s">
        <v>175</v>
      </c>
      <c r="L41" s="3" t="s">
        <v>328</v>
      </c>
      <c r="M41" s="3" t="s">
        <v>408</v>
      </c>
      <c r="N41" s="7" t="s">
        <v>116</v>
      </c>
      <c r="O41" s="3" t="s">
        <v>232</v>
      </c>
      <c r="P41" s="7">
        <v>34</v>
      </c>
      <c r="Q41" s="10" t="s">
        <v>49</v>
      </c>
      <c r="R41" s="3" t="s">
        <v>50</v>
      </c>
      <c r="S41" s="3" t="s">
        <v>409</v>
      </c>
      <c r="T41" s="3" t="s">
        <v>410</v>
      </c>
      <c r="U41" s="7">
        <v>2</v>
      </c>
      <c r="V41" s="9" t="s">
        <v>411</v>
      </c>
      <c r="W41" s="9" t="s">
        <v>412</v>
      </c>
      <c r="X41" s="7" t="s">
        <v>40</v>
      </c>
      <c r="Y41" s="9" t="s">
        <v>316</v>
      </c>
    </row>
    <row r="42" spans="1:25" ht="25" x14ac:dyDescent="0.35">
      <c r="A42" s="2" t="s">
        <v>413</v>
      </c>
      <c r="B42" s="3" t="s">
        <v>335</v>
      </c>
      <c r="C42" s="4" t="s">
        <v>27</v>
      </c>
      <c r="D42" s="5">
        <v>690</v>
      </c>
      <c r="E42" s="5">
        <f>Business_Info!$B$3</f>
        <v>20</v>
      </c>
      <c r="F42" s="6">
        <f t="shared" si="2"/>
        <v>670</v>
      </c>
      <c r="G42" s="7">
        <v>24</v>
      </c>
      <c r="H42" s="5">
        <f t="shared" si="3"/>
        <v>16560</v>
      </c>
      <c r="I42" s="7">
        <v>1</v>
      </c>
      <c r="J42" s="3" t="s">
        <v>336</v>
      </c>
      <c r="K42" s="3" t="s">
        <v>337</v>
      </c>
      <c r="L42" s="3" t="s">
        <v>338</v>
      </c>
      <c r="M42" s="3" t="s">
        <v>339</v>
      </c>
      <c r="N42" s="7" t="s">
        <v>32</v>
      </c>
      <c r="O42" s="3" t="s">
        <v>135</v>
      </c>
      <c r="P42" s="7">
        <v>0</v>
      </c>
      <c r="Q42" s="8" t="s">
        <v>34</v>
      </c>
      <c r="R42" s="3" t="s">
        <v>35</v>
      </c>
      <c r="S42" s="3" t="s">
        <v>340</v>
      </c>
      <c r="T42" s="3" t="s">
        <v>341</v>
      </c>
      <c r="U42" s="7">
        <v>3</v>
      </c>
      <c r="V42" s="9" t="s">
        <v>414</v>
      </c>
      <c r="W42" s="9" t="s">
        <v>415</v>
      </c>
      <c r="X42" s="7" t="s">
        <v>40</v>
      </c>
      <c r="Y42" s="9" t="s">
        <v>13</v>
      </c>
    </row>
    <row r="43" spans="1:25" ht="25" x14ac:dyDescent="0.35">
      <c r="A43" s="2" t="s">
        <v>416</v>
      </c>
      <c r="B43" s="3" t="s">
        <v>142</v>
      </c>
      <c r="C43" s="4" t="s">
        <v>27</v>
      </c>
      <c r="D43" s="5">
        <v>760</v>
      </c>
      <c r="E43" s="5">
        <f>Business_Info!$B$3</f>
        <v>20</v>
      </c>
      <c r="F43" s="6">
        <f t="shared" si="2"/>
        <v>740</v>
      </c>
      <c r="G43" s="7">
        <v>20</v>
      </c>
      <c r="H43" s="5">
        <f t="shared" si="3"/>
        <v>15200</v>
      </c>
      <c r="I43" s="7">
        <v>1</v>
      </c>
      <c r="J43" s="3" t="s">
        <v>57</v>
      </c>
      <c r="K43" s="3" t="s">
        <v>143</v>
      </c>
      <c r="L43" s="3" t="s">
        <v>345</v>
      </c>
      <c r="M43" s="3" t="s">
        <v>145</v>
      </c>
      <c r="N43" s="7" t="s">
        <v>47</v>
      </c>
      <c r="O43" s="3" t="s">
        <v>146</v>
      </c>
      <c r="P43" s="7">
        <v>22</v>
      </c>
      <c r="Q43" s="10" t="s">
        <v>49</v>
      </c>
      <c r="R43" s="3" t="s">
        <v>50</v>
      </c>
      <c r="S43" s="3" t="s">
        <v>346</v>
      </c>
      <c r="T43" s="3" t="s">
        <v>347</v>
      </c>
      <c r="U43" s="7">
        <v>3</v>
      </c>
      <c r="V43" s="9" t="s">
        <v>417</v>
      </c>
      <c r="W43" s="9" t="s">
        <v>418</v>
      </c>
      <c r="X43" s="7" t="s">
        <v>40</v>
      </c>
      <c r="Y43" s="9" t="s">
        <v>13</v>
      </c>
    </row>
    <row r="44" spans="1:25" ht="25" x14ac:dyDescent="0.35">
      <c r="A44" s="2" t="s">
        <v>419</v>
      </c>
      <c r="B44" s="3" t="s">
        <v>351</v>
      </c>
      <c r="C44" s="4" t="s">
        <v>27</v>
      </c>
      <c r="D44" s="5">
        <v>800</v>
      </c>
      <c r="E44" s="5">
        <f>Business_Info!$B$3</f>
        <v>20</v>
      </c>
      <c r="F44" s="6">
        <f t="shared" si="2"/>
        <v>780</v>
      </c>
      <c r="G44" s="7">
        <v>18</v>
      </c>
      <c r="H44" s="5">
        <f t="shared" si="3"/>
        <v>14400</v>
      </c>
      <c r="I44" s="7">
        <v>1</v>
      </c>
      <c r="J44" s="3" t="s">
        <v>352</v>
      </c>
      <c r="K44" s="3" t="s">
        <v>282</v>
      </c>
      <c r="L44" s="3" t="s">
        <v>353</v>
      </c>
      <c r="M44" s="3" t="s">
        <v>156</v>
      </c>
      <c r="N44" s="7" t="s">
        <v>47</v>
      </c>
      <c r="O44" s="3" t="s">
        <v>157</v>
      </c>
      <c r="P44" s="7">
        <v>34</v>
      </c>
      <c r="Q44" s="10" t="s">
        <v>49</v>
      </c>
      <c r="R44" s="3" t="s">
        <v>50</v>
      </c>
      <c r="S44" s="3" t="s">
        <v>420</v>
      </c>
      <c r="T44" s="3" t="s">
        <v>421</v>
      </c>
      <c r="U44" s="7">
        <v>3</v>
      </c>
      <c r="V44" s="9" t="s">
        <v>422</v>
      </c>
      <c r="W44" s="9" t="s">
        <v>423</v>
      </c>
      <c r="X44" s="7" t="s">
        <v>40</v>
      </c>
      <c r="Y44" s="9" t="s">
        <v>13</v>
      </c>
    </row>
    <row r="45" spans="1:25" ht="25" x14ac:dyDescent="0.35">
      <c r="A45" s="2" t="s">
        <v>424</v>
      </c>
      <c r="B45" s="3" t="s">
        <v>360</v>
      </c>
      <c r="C45" s="8" t="s">
        <v>66</v>
      </c>
      <c r="D45" s="5">
        <v>650</v>
      </c>
      <c r="E45" s="5">
        <f>Business_Info!$B$3</f>
        <v>20</v>
      </c>
      <c r="F45" s="6">
        <f t="shared" si="2"/>
        <v>630</v>
      </c>
      <c r="G45" s="7">
        <v>24</v>
      </c>
      <c r="H45" s="5">
        <f t="shared" si="3"/>
        <v>15600</v>
      </c>
      <c r="I45" s="7">
        <v>1</v>
      </c>
      <c r="J45" s="3" t="s">
        <v>361</v>
      </c>
      <c r="K45" s="3" t="s">
        <v>262</v>
      </c>
      <c r="L45" s="3" t="s">
        <v>362</v>
      </c>
      <c r="M45" s="3" t="s">
        <v>69</v>
      </c>
      <c r="N45" s="7" t="s">
        <v>80</v>
      </c>
      <c r="O45" s="3" t="s">
        <v>363</v>
      </c>
      <c r="P45" s="7">
        <v>36</v>
      </c>
      <c r="Q45" s="10" t="s">
        <v>49</v>
      </c>
      <c r="R45" s="3" t="s">
        <v>50</v>
      </c>
      <c r="S45" s="3" t="s">
        <v>364</v>
      </c>
      <c r="T45" s="3" t="s">
        <v>365</v>
      </c>
      <c r="U45" s="7">
        <v>3</v>
      </c>
      <c r="V45" s="9" t="s">
        <v>425</v>
      </c>
      <c r="W45" s="9" t="s">
        <v>426</v>
      </c>
      <c r="X45" s="7" t="s">
        <v>40</v>
      </c>
      <c r="Y45" s="9" t="s">
        <v>13</v>
      </c>
    </row>
    <row r="46" spans="1:25" ht="25" x14ac:dyDescent="0.35">
      <c r="A46" s="2" t="s">
        <v>427</v>
      </c>
      <c r="B46" s="3" t="s">
        <v>369</v>
      </c>
      <c r="C46" s="8" t="s">
        <v>66</v>
      </c>
      <c r="D46" s="5">
        <v>730</v>
      </c>
      <c r="E46" s="5">
        <f>Business_Info!$B$3</f>
        <v>20</v>
      </c>
      <c r="F46" s="6">
        <f t="shared" si="2"/>
        <v>710</v>
      </c>
      <c r="G46" s="7">
        <v>22</v>
      </c>
      <c r="H46" s="5">
        <f t="shared" si="3"/>
        <v>16060</v>
      </c>
      <c r="I46" s="7">
        <v>1</v>
      </c>
      <c r="J46" s="3" t="s">
        <v>370</v>
      </c>
      <c r="K46" s="3" t="s">
        <v>29</v>
      </c>
      <c r="L46" s="3" t="s">
        <v>263</v>
      </c>
      <c r="M46" s="3" t="s">
        <v>294</v>
      </c>
      <c r="N46" s="7" t="s">
        <v>70</v>
      </c>
      <c r="O46" s="3" t="s">
        <v>371</v>
      </c>
      <c r="P46" s="7">
        <v>30</v>
      </c>
      <c r="Q46" s="10" t="s">
        <v>49</v>
      </c>
      <c r="R46" s="3" t="s">
        <v>50</v>
      </c>
      <c r="S46" s="3" t="s">
        <v>372</v>
      </c>
      <c r="T46" s="3" t="s">
        <v>373</v>
      </c>
      <c r="U46" s="7">
        <v>3</v>
      </c>
      <c r="V46" s="9" t="s">
        <v>428</v>
      </c>
      <c r="W46" s="9" t="s">
        <v>429</v>
      </c>
      <c r="X46" s="7" t="s">
        <v>40</v>
      </c>
      <c r="Y46" s="9" t="s">
        <v>13</v>
      </c>
    </row>
    <row r="47" spans="1:25" ht="25" x14ac:dyDescent="0.35">
      <c r="A47" s="2" t="s">
        <v>430</v>
      </c>
      <c r="B47" s="3" t="s">
        <v>377</v>
      </c>
      <c r="C47" s="8" t="s">
        <v>66</v>
      </c>
      <c r="D47" s="5">
        <v>790</v>
      </c>
      <c r="E47" s="5">
        <f>Business_Info!$B$3</f>
        <v>20</v>
      </c>
      <c r="F47" s="6">
        <f t="shared" si="2"/>
        <v>770</v>
      </c>
      <c r="G47" s="7">
        <v>18</v>
      </c>
      <c r="H47" s="5">
        <f t="shared" si="3"/>
        <v>14220</v>
      </c>
      <c r="I47" s="7">
        <v>1</v>
      </c>
      <c r="J47" s="3" t="s">
        <v>174</v>
      </c>
      <c r="K47" s="3" t="s">
        <v>378</v>
      </c>
      <c r="L47" s="3" t="s">
        <v>379</v>
      </c>
      <c r="M47" s="3" t="s">
        <v>339</v>
      </c>
      <c r="N47" s="7" t="s">
        <v>80</v>
      </c>
      <c r="O47" s="3" t="s">
        <v>380</v>
      </c>
      <c r="P47" s="7">
        <v>28</v>
      </c>
      <c r="Q47" s="10" t="s">
        <v>49</v>
      </c>
      <c r="R47" s="3" t="s">
        <v>50</v>
      </c>
      <c r="S47" s="3" t="s">
        <v>381</v>
      </c>
      <c r="T47" s="3" t="s">
        <v>382</v>
      </c>
      <c r="U47" s="7">
        <v>3</v>
      </c>
      <c r="V47" s="9" t="s">
        <v>431</v>
      </c>
      <c r="W47" s="9" t="s">
        <v>432</v>
      </c>
      <c r="X47" s="7" t="s">
        <v>40</v>
      </c>
      <c r="Y47" s="9" t="s">
        <v>13</v>
      </c>
    </row>
    <row r="48" spans="1:25" ht="25" x14ac:dyDescent="0.35">
      <c r="A48" s="2" t="s">
        <v>433</v>
      </c>
      <c r="B48" s="3" t="s">
        <v>386</v>
      </c>
      <c r="C48" s="10" t="s">
        <v>97</v>
      </c>
      <c r="D48" s="5">
        <v>480</v>
      </c>
      <c r="E48" s="5">
        <f>Business_Info!$B$3</f>
        <v>20</v>
      </c>
      <c r="F48" s="6">
        <f t="shared" si="2"/>
        <v>460</v>
      </c>
      <c r="G48" s="7">
        <v>30</v>
      </c>
      <c r="H48" s="5">
        <f t="shared" si="3"/>
        <v>14400</v>
      </c>
      <c r="I48" s="7">
        <v>1</v>
      </c>
      <c r="J48" s="3" t="s">
        <v>387</v>
      </c>
      <c r="K48" s="3" t="s">
        <v>198</v>
      </c>
      <c r="L48" s="3" t="s">
        <v>199</v>
      </c>
      <c r="M48" s="3" t="s">
        <v>388</v>
      </c>
      <c r="N48" s="7" t="s">
        <v>116</v>
      </c>
      <c r="O48" s="3" t="s">
        <v>117</v>
      </c>
      <c r="P48" s="7">
        <v>17</v>
      </c>
      <c r="Q48" s="10" t="s">
        <v>49</v>
      </c>
      <c r="R48" s="3" t="s">
        <v>50</v>
      </c>
      <c r="S48" s="3" t="s">
        <v>389</v>
      </c>
      <c r="T48" s="3" t="s">
        <v>390</v>
      </c>
      <c r="U48" s="7">
        <v>3</v>
      </c>
      <c r="V48" s="9" t="s">
        <v>434</v>
      </c>
      <c r="W48" s="9" t="s">
        <v>435</v>
      </c>
      <c r="X48" s="7" t="s">
        <v>40</v>
      </c>
      <c r="Y48" s="9" t="s">
        <v>13</v>
      </c>
    </row>
    <row r="49" spans="1:25" ht="25" x14ac:dyDescent="0.35">
      <c r="A49" s="2" t="s">
        <v>436</v>
      </c>
      <c r="B49" s="3" t="s">
        <v>394</v>
      </c>
      <c r="C49" s="10" t="s">
        <v>97</v>
      </c>
      <c r="D49" s="5">
        <v>560</v>
      </c>
      <c r="E49" s="5">
        <f>Business_Info!$B$3</f>
        <v>20</v>
      </c>
      <c r="F49" s="6">
        <f t="shared" si="2"/>
        <v>540</v>
      </c>
      <c r="G49" s="7">
        <v>28</v>
      </c>
      <c r="H49" s="5">
        <f t="shared" si="3"/>
        <v>15680</v>
      </c>
      <c r="I49" s="7">
        <v>1</v>
      </c>
      <c r="J49" s="3" t="s">
        <v>43</v>
      </c>
      <c r="K49" s="3" t="s">
        <v>29</v>
      </c>
      <c r="L49" s="3" t="s">
        <v>208</v>
      </c>
      <c r="M49" s="3" t="s">
        <v>395</v>
      </c>
      <c r="N49" s="7" t="s">
        <v>99</v>
      </c>
      <c r="O49" s="3" t="s">
        <v>210</v>
      </c>
      <c r="P49" s="7">
        <v>9</v>
      </c>
      <c r="Q49" s="10" t="s">
        <v>49</v>
      </c>
      <c r="R49" s="3" t="s">
        <v>50</v>
      </c>
      <c r="S49" s="3" t="s">
        <v>396</v>
      </c>
      <c r="T49" s="3" t="s">
        <v>397</v>
      </c>
      <c r="U49" s="7">
        <v>3</v>
      </c>
      <c r="V49" s="9" t="s">
        <v>437</v>
      </c>
      <c r="W49" s="9" t="s">
        <v>438</v>
      </c>
      <c r="X49" s="7" t="s">
        <v>40</v>
      </c>
      <c r="Y49" s="9" t="s">
        <v>13</v>
      </c>
    </row>
    <row r="50" spans="1:25" ht="25" x14ac:dyDescent="0.35">
      <c r="A50" s="2" t="s">
        <v>439</v>
      </c>
      <c r="B50" s="3" t="s">
        <v>401</v>
      </c>
      <c r="C50" s="11" t="s">
        <v>114</v>
      </c>
      <c r="D50" s="5">
        <v>430</v>
      </c>
      <c r="E50" s="5">
        <f>Business_Info!$B$3</f>
        <v>20</v>
      </c>
      <c r="F50" s="6">
        <f t="shared" si="2"/>
        <v>410</v>
      </c>
      <c r="G50" s="7">
        <v>32</v>
      </c>
      <c r="H50" s="5">
        <f t="shared" si="3"/>
        <v>13760</v>
      </c>
      <c r="I50" s="7">
        <v>1</v>
      </c>
      <c r="J50" s="3" t="s">
        <v>319</v>
      </c>
      <c r="K50" s="3" t="s">
        <v>218</v>
      </c>
      <c r="L50" s="3" t="s">
        <v>219</v>
      </c>
      <c r="M50" s="3" t="s">
        <v>402</v>
      </c>
      <c r="N50" s="7" t="s">
        <v>221</v>
      </c>
      <c r="O50" s="3" t="s">
        <v>222</v>
      </c>
      <c r="P50" s="7">
        <v>27</v>
      </c>
      <c r="Q50" s="10" t="s">
        <v>49</v>
      </c>
      <c r="R50" s="3" t="s">
        <v>50</v>
      </c>
      <c r="S50" s="3" t="s">
        <v>403</v>
      </c>
      <c r="T50" s="3" t="s">
        <v>404</v>
      </c>
      <c r="U50" s="7">
        <v>3</v>
      </c>
      <c r="V50" s="9" t="s">
        <v>440</v>
      </c>
      <c r="W50" s="9" t="s">
        <v>441</v>
      </c>
      <c r="X50" s="7" t="s">
        <v>40</v>
      </c>
      <c r="Y50" s="9" t="s">
        <v>13</v>
      </c>
    </row>
    <row r="51" spans="1:25" ht="25" x14ac:dyDescent="0.35">
      <c r="A51" s="2" t="s">
        <v>442</v>
      </c>
      <c r="B51" s="3" t="s">
        <v>228</v>
      </c>
      <c r="C51" s="11" t="s">
        <v>114</v>
      </c>
      <c r="D51" s="5">
        <v>580</v>
      </c>
      <c r="E51" s="5">
        <f>Business_Info!$B$3</f>
        <v>20</v>
      </c>
      <c r="F51" s="6">
        <f t="shared" si="2"/>
        <v>560</v>
      </c>
      <c r="G51" s="7">
        <v>24</v>
      </c>
      <c r="H51" s="5">
        <f t="shared" si="3"/>
        <v>13920</v>
      </c>
      <c r="I51" s="7">
        <v>1</v>
      </c>
      <c r="J51" s="3" t="s">
        <v>229</v>
      </c>
      <c r="K51" s="3" t="s">
        <v>175</v>
      </c>
      <c r="L51" s="3" t="s">
        <v>328</v>
      </c>
      <c r="M51" s="3" t="s">
        <v>408</v>
      </c>
      <c r="N51" s="7" t="s">
        <v>116</v>
      </c>
      <c r="O51" s="3" t="s">
        <v>232</v>
      </c>
      <c r="P51" s="7">
        <v>40</v>
      </c>
      <c r="Q51" s="10" t="s">
        <v>49</v>
      </c>
      <c r="R51" s="3" t="s">
        <v>50</v>
      </c>
      <c r="S51" s="3" t="s">
        <v>409</v>
      </c>
      <c r="T51" s="3" t="s">
        <v>410</v>
      </c>
      <c r="U51" s="7">
        <v>3</v>
      </c>
      <c r="V51" s="9" t="s">
        <v>443</v>
      </c>
      <c r="W51" s="9" t="s">
        <v>444</v>
      </c>
      <c r="X51" s="7" t="s">
        <v>40</v>
      </c>
      <c r="Y51" s="9" t="s">
        <v>316</v>
      </c>
    </row>
    <row r="52" spans="1:25" ht="25" x14ac:dyDescent="0.35">
      <c r="A52" s="2" t="s">
        <v>445</v>
      </c>
      <c r="B52" s="3" t="s">
        <v>446</v>
      </c>
      <c r="C52" s="4" t="s">
        <v>27</v>
      </c>
      <c r="D52" s="5">
        <v>740</v>
      </c>
      <c r="E52" s="5">
        <f>Business_Info!$B$3</f>
        <v>20</v>
      </c>
      <c r="F52" s="6">
        <f t="shared" si="2"/>
        <v>720</v>
      </c>
      <c r="G52" s="7">
        <v>22</v>
      </c>
      <c r="H52" s="5">
        <f t="shared" si="3"/>
        <v>16280</v>
      </c>
      <c r="I52" s="7">
        <v>1</v>
      </c>
      <c r="J52" s="3" t="s">
        <v>447</v>
      </c>
      <c r="K52" s="3" t="s">
        <v>448</v>
      </c>
      <c r="L52" s="3" t="s">
        <v>449</v>
      </c>
      <c r="M52" s="3" t="s">
        <v>450</v>
      </c>
      <c r="N52" s="7" t="s">
        <v>32</v>
      </c>
      <c r="O52" s="3" t="s">
        <v>451</v>
      </c>
      <c r="P52" s="7">
        <v>11</v>
      </c>
      <c r="Q52" s="10" t="s">
        <v>49</v>
      </c>
      <c r="R52" s="3" t="s">
        <v>50</v>
      </c>
      <c r="S52" s="3" t="s">
        <v>452</v>
      </c>
      <c r="T52" s="3" t="s">
        <v>453</v>
      </c>
      <c r="U52" s="7">
        <v>3</v>
      </c>
      <c r="V52" s="9" t="s">
        <v>454</v>
      </c>
      <c r="W52" s="9" t="s">
        <v>455</v>
      </c>
      <c r="X52" s="7" t="s">
        <v>40</v>
      </c>
      <c r="Y52" s="9" t="s">
        <v>13</v>
      </c>
    </row>
    <row r="53" spans="1:25" ht="25" x14ac:dyDescent="0.35">
      <c r="A53" s="2" t="s">
        <v>456</v>
      </c>
      <c r="B53" s="3" t="s">
        <v>457</v>
      </c>
      <c r="C53" s="4" t="s">
        <v>27</v>
      </c>
      <c r="D53" s="5">
        <v>780</v>
      </c>
      <c r="E53" s="5">
        <f>Business_Info!$B$3</f>
        <v>20</v>
      </c>
      <c r="F53" s="6">
        <f t="shared" si="2"/>
        <v>760</v>
      </c>
      <c r="G53" s="7">
        <v>20</v>
      </c>
      <c r="H53" s="5">
        <f t="shared" si="3"/>
        <v>15600</v>
      </c>
      <c r="I53" s="7">
        <v>1</v>
      </c>
      <c r="J53" s="3" t="s">
        <v>458</v>
      </c>
      <c r="K53" s="3" t="s">
        <v>459</v>
      </c>
      <c r="L53" s="3" t="s">
        <v>460</v>
      </c>
      <c r="M53" s="3" t="s">
        <v>461</v>
      </c>
      <c r="N53" s="7" t="s">
        <v>47</v>
      </c>
      <c r="O53" s="3" t="s">
        <v>146</v>
      </c>
      <c r="P53" s="7">
        <v>25</v>
      </c>
      <c r="Q53" s="10" t="s">
        <v>49</v>
      </c>
      <c r="R53" s="3" t="s">
        <v>50</v>
      </c>
      <c r="S53" s="3" t="s">
        <v>462</v>
      </c>
      <c r="T53" s="3" t="s">
        <v>463</v>
      </c>
      <c r="U53" s="7">
        <v>3</v>
      </c>
      <c r="V53" s="9" t="s">
        <v>464</v>
      </c>
      <c r="W53" s="9" t="s">
        <v>465</v>
      </c>
      <c r="X53" s="7" t="s">
        <v>40</v>
      </c>
      <c r="Y53" s="9" t="s">
        <v>13</v>
      </c>
    </row>
    <row r="54" spans="1:25" ht="25" x14ac:dyDescent="0.35">
      <c r="A54" s="2" t="s">
        <v>466</v>
      </c>
      <c r="B54" s="3" t="s">
        <v>467</v>
      </c>
      <c r="C54" s="4" t="s">
        <v>27</v>
      </c>
      <c r="D54" s="5">
        <v>800</v>
      </c>
      <c r="E54" s="5">
        <f>Business_Info!$B$3</f>
        <v>20</v>
      </c>
      <c r="F54" s="6">
        <f t="shared" si="2"/>
        <v>780</v>
      </c>
      <c r="G54" s="7">
        <v>18</v>
      </c>
      <c r="H54" s="5">
        <f t="shared" si="3"/>
        <v>14400</v>
      </c>
      <c r="I54" s="7">
        <v>1</v>
      </c>
      <c r="J54" s="3" t="s">
        <v>468</v>
      </c>
      <c r="K54" s="3" t="s">
        <v>469</v>
      </c>
      <c r="L54" s="3" t="s">
        <v>263</v>
      </c>
      <c r="M54" s="3" t="s">
        <v>470</v>
      </c>
      <c r="N54" s="7" t="s">
        <v>32</v>
      </c>
      <c r="O54" s="3" t="s">
        <v>265</v>
      </c>
      <c r="P54" s="7">
        <v>34</v>
      </c>
      <c r="Q54" s="10" t="s">
        <v>49</v>
      </c>
      <c r="R54" s="3" t="s">
        <v>50</v>
      </c>
      <c r="S54" s="3" t="s">
        <v>471</v>
      </c>
      <c r="T54" s="3" t="s">
        <v>472</v>
      </c>
      <c r="U54" s="7">
        <v>3</v>
      </c>
      <c r="V54" s="9" t="s">
        <v>473</v>
      </c>
      <c r="W54" s="9" t="s">
        <v>474</v>
      </c>
      <c r="X54" s="7" t="s">
        <v>40</v>
      </c>
      <c r="Y54" s="9" t="s">
        <v>13</v>
      </c>
    </row>
    <row r="55" spans="1:25" ht="25" x14ac:dyDescent="0.35">
      <c r="A55" s="2" t="s">
        <v>475</v>
      </c>
      <c r="B55" s="3" t="s">
        <v>476</v>
      </c>
      <c r="C55" s="8" t="s">
        <v>66</v>
      </c>
      <c r="D55" s="5">
        <v>670</v>
      </c>
      <c r="E55" s="5">
        <f>Business_Info!$B$3</f>
        <v>20</v>
      </c>
      <c r="F55" s="6">
        <f t="shared" si="2"/>
        <v>650</v>
      </c>
      <c r="G55" s="7">
        <v>24</v>
      </c>
      <c r="H55" s="5">
        <f t="shared" si="3"/>
        <v>16080</v>
      </c>
      <c r="I55" s="7">
        <v>1</v>
      </c>
      <c r="J55" s="3" t="s">
        <v>272</v>
      </c>
      <c r="K55" s="3" t="s">
        <v>477</v>
      </c>
      <c r="L55" s="3" t="s">
        <v>273</v>
      </c>
      <c r="M55" s="3" t="s">
        <v>478</v>
      </c>
      <c r="N55" s="7" t="s">
        <v>70</v>
      </c>
      <c r="O55" s="3" t="s">
        <v>275</v>
      </c>
      <c r="P55" s="7">
        <v>11</v>
      </c>
      <c r="Q55" s="10" t="s">
        <v>49</v>
      </c>
      <c r="R55" s="3" t="s">
        <v>50</v>
      </c>
      <c r="S55" s="3" t="s">
        <v>479</v>
      </c>
      <c r="T55" s="3" t="s">
        <v>480</v>
      </c>
      <c r="U55" s="7">
        <v>3</v>
      </c>
      <c r="V55" s="9" t="s">
        <v>481</v>
      </c>
      <c r="W55" s="9" t="s">
        <v>482</v>
      </c>
      <c r="X55" s="7" t="s">
        <v>40</v>
      </c>
      <c r="Y55" s="9" t="s">
        <v>13</v>
      </c>
    </row>
    <row r="56" spans="1:25" ht="25" x14ac:dyDescent="0.35">
      <c r="A56" s="2" t="s">
        <v>483</v>
      </c>
      <c r="B56" s="3" t="s">
        <v>484</v>
      </c>
      <c r="C56" s="8" t="s">
        <v>66</v>
      </c>
      <c r="D56" s="5">
        <v>770</v>
      </c>
      <c r="E56" s="5">
        <f>Business_Info!$B$3</f>
        <v>20</v>
      </c>
      <c r="F56" s="6">
        <f t="shared" si="2"/>
        <v>750</v>
      </c>
      <c r="G56" s="7">
        <v>20</v>
      </c>
      <c r="H56" s="5">
        <f t="shared" si="3"/>
        <v>15400</v>
      </c>
      <c r="I56" s="7">
        <v>1</v>
      </c>
      <c r="J56" s="3" t="s">
        <v>78</v>
      </c>
      <c r="K56" s="3" t="s">
        <v>485</v>
      </c>
      <c r="L56" s="3" t="s">
        <v>486</v>
      </c>
      <c r="M56" s="3" t="s">
        <v>487</v>
      </c>
      <c r="N56" s="7" t="s">
        <v>80</v>
      </c>
      <c r="O56" s="3" t="s">
        <v>285</v>
      </c>
      <c r="P56" s="7">
        <v>36</v>
      </c>
      <c r="Q56" s="10" t="s">
        <v>49</v>
      </c>
      <c r="R56" s="3" t="s">
        <v>50</v>
      </c>
      <c r="S56" s="3" t="s">
        <v>488</v>
      </c>
      <c r="T56" s="3" t="s">
        <v>489</v>
      </c>
      <c r="U56" s="7">
        <v>3</v>
      </c>
      <c r="V56" s="9" t="s">
        <v>490</v>
      </c>
      <c r="W56" s="9" t="s">
        <v>491</v>
      </c>
      <c r="X56" s="7" t="s">
        <v>40</v>
      </c>
      <c r="Y56" s="9" t="s">
        <v>13</v>
      </c>
    </row>
    <row r="57" spans="1:25" ht="25" x14ac:dyDescent="0.35">
      <c r="A57" s="2" t="s">
        <v>492</v>
      </c>
      <c r="B57" s="3" t="s">
        <v>493</v>
      </c>
      <c r="C57" s="8" t="s">
        <v>66</v>
      </c>
      <c r="D57" s="5">
        <v>710</v>
      </c>
      <c r="E57" s="5">
        <f>Business_Info!$B$3</f>
        <v>20</v>
      </c>
      <c r="F57" s="6">
        <f t="shared" si="2"/>
        <v>690</v>
      </c>
      <c r="G57" s="7">
        <v>18</v>
      </c>
      <c r="H57" s="5">
        <f t="shared" si="3"/>
        <v>12780</v>
      </c>
      <c r="I57" s="7">
        <v>1</v>
      </c>
      <c r="J57" s="3" t="s">
        <v>292</v>
      </c>
      <c r="K57" s="3" t="s">
        <v>494</v>
      </c>
      <c r="L57" s="3" t="s">
        <v>338</v>
      </c>
      <c r="M57" s="3" t="s">
        <v>495</v>
      </c>
      <c r="N57" s="7" t="s">
        <v>70</v>
      </c>
      <c r="O57" s="3" t="s">
        <v>295</v>
      </c>
      <c r="P57" s="7">
        <v>9</v>
      </c>
      <c r="Q57" s="10" t="s">
        <v>49</v>
      </c>
      <c r="R57" s="3" t="s">
        <v>50</v>
      </c>
      <c r="S57" s="3" t="s">
        <v>496</v>
      </c>
      <c r="T57" s="3" t="s">
        <v>497</v>
      </c>
      <c r="U57" s="7">
        <v>3</v>
      </c>
      <c r="V57" s="9" t="s">
        <v>498</v>
      </c>
      <c r="W57" s="9" t="s">
        <v>499</v>
      </c>
      <c r="X57" s="7" t="s">
        <v>40</v>
      </c>
      <c r="Y57" s="9" t="s">
        <v>13</v>
      </c>
    </row>
    <row r="58" spans="1:25" ht="25" x14ac:dyDescent="0.35">
      <c r="A58" s="2" t="s">
        <v>500</v>
      </c>
      <c r="B58" s="3" t="s">
        <v>501</v>
      </c>
      <c r="C58" s="10" t="s">
        <v>97</v>
      </c>
      <c r="D58" s="5">
        <v>500</v>
      </c>
      <c r="E58" s="5">
        <f>Business_Info!$B$3</f>
        <v>20</v>
      </c>
      <c r="F58" s="6">
        <f t="shared" si="2"/>
        <v>480</v>
      </c>
      <c r="G58" s="7">
        <v>30</v>
      </c>
      <c r="H58" s="5">
        <f t="shared" si="3"/>
        <v>15000</v>
      </c>
      <c r="I58" s="7">
        <v>1</v>
      </c>
      <c r="J58" s="3" t="s">
        <v>502</v>
      </c>
      <c r="K58" s="3" t="s">
        <v>132</v>
      </c>
      <c r="L58" s="3" t="s">
        <v>199</v>
      </c>
      <c r="M58" s="3" t="s">
        <v>503</v>
      </c>
      <c r="N58" s="7" t="s">
        <v>116</v>
      </c>
      <c r="O58" s="3" t="s">
        <v>117</v>
      </c>
      <c r="P58" s="7">
        <v>3</v>
      </c>
      <c r="Q58" s="11" t="s">
        <v>190</v>
      </c>
      <c r="R58" s="3" t="s">
        <v>50</v>
      </c>
      <c r="S58" s="3" t="s">
        <v>504</v>
      </c>
      <c r="T58" s="3" t="s">
        <v>505</v>
      </c>
      <c r="U58" s="7">
        <v>3</v>
      </c>
      <c r="V58" s="9" t="s">
        <v>506</v>
      </c>
      <c r="W58" s="9" t="s">
        <v>507</v>
      </c>
      <c r="X58" s="7" t="s">
        <v>40</v>
      </c>
      <c r="Y58" s="9" t="s">
        <v>13</v>
      </c>
    </row>
    <row r="59" spans="1:25" ht="25" x14ac:dyDescent="0.35">
      <c r="A59" s="2" t="s">
        <v>508</v>
      </c>
      <c r="B59" s="3" t="s">
        <v>509</v>
      </c>
      <c r="C59" s="10" t="s">
        <v>97</v>
      </c>
      <c r="D59" s="5">
        <v>550</v>
      </c>
      <c r="E59" s="5">
        <f>Business_Info!$B$3</f>
        <v>20</v>
      </c>
      <c r="F59" s="6">
        <f t="shared" si="2"/>
        <v>530</v>
      </c>
      <c r="G59" s="7">
        <v>28</v>
      </c>
      <c r="H59" s="5">
        <f t="shared" si="3"/>
        <v>15400</v>
      </c>
      <c r="I59" s="7">
        <v>1</v>
      </c>
      <c r="J59" s="3" t="s">
        <v>43</v>
      </c>
      <c r="K59" s="3" t="s">
        <v>510</v>
      </c>
      <c r="L59" s="3" t="s">
        <v>208</v>
      </c>
      <c r="M59" s="3" t="s">
        <v>511</v>
      </c>
      <c r="N59" s="7" t="s">
        <v>99</v>
      </c>
      <c r="O59" s="3" t="s">
        <v>210</v>
      </c>
      <c r="P59" s="7">
        <v>25</v>
      </c>
      <c r="Q59" s="10" t="s">
        <v>49</v>
      </c>
      <c r="R59" s="3" t="s">
        <v>50</v>
      </c>
      <c r="S59" s="3" t="s">
        <v>512</v>
      </c>
      <c r="T59" s="3" t="s">
        <v>513</v>
      </c>
      <c r="U59" s="7">
        <v>3</v>
      </c>
      <c r="V59" s="9" t="s">
        <v>514</v>
      </c>
      <c r="W59" s="9" t="s">
        <v>515</v>
      </c>
      <c r="X59" s="7" t="s">
        <v>40</v>
      </c>
      <c r="Y59" s="9" t="s">
        <v>13</v>
      </c>
    </row>
    <row r="60" spans="1:25" ht="25" x14ac:dyDescent="0.35">
      <c r="A60" s="2" t="s">
        <v>516</v>
      </c>
      <c r="B60" s="3" t="s">
        <v>517</v>
      </c>
      <c r="C60" s="11" t="s">
        <v>114</v>
      </c>
      <c r="D60" s="5">
        <v>450</v>
      </c>
      <c r="E60" s="5">
        <f>Business_Info!$B$3</f>
        <v>20</v>
      </c>
      <c r="F60" s="6">
        <f t="shared" si="2"/>
        <v>430</v>
      </c>
      <c r="G60" s="7">
        <v>32</v>
      </c>
      <c r="H60" s="5">
        <f t="shared" si="3"/>
        <v>14400</v>
      </c>
      <c r="I60" s="7">
        <v>1</v>
      </c>
      <c r="J60" s="3" t="s">
        <v>319</v>
      </c>
      <c r="K60" s="3" t="s">
        <v>165</v>
      </c>
      <c r="L60" s="3" t="s">
        <v>219</v>
      </c>
      <c r="M60" s="3" t="s">
        <v>518</v>
      </c>
      <c r="N60" s="7" t="s">
        <v>221</v>
      </c>
      <c r="O60" s="3" t="s">
        <v>222</v>
      </c>
      <c r="P60" s="7">
        <v>22</v>
      </c>
      <c r="Q60" s="10" t="s">
        <v>49</v>
      </c>
      <c r="R60" s="3" t="s">
        <v>50</v>
      </c>
      <c r="S60" s="3" t="s">
        <v>519</v>
      </c>
      <c r="T60" s="3" t="s">
        <v>520</v>
      </c>
      <c r="U60" s="7">
        <v>3</v>
      </c>
      <c r="V60" s="9" t="s">
        <v>521</v>
      </c>
      <c r="W60" s="9" t="s">
        <v>522</v>
      </c>
      <c r="X60" s="7" t="s">
        <v>40</v>
      </c>
      <c r="Y60" s="9" t="s">
        <v>13</v>
      </c>
    </row>
    <row r="61" spans="1:25" ht="25" x14ac:dyDescent="0.35">
      <c r="A61" s="2" t="s">
        <v>523</v>
      </c>
      <c r="B61" s="3" t="s">
        <v>326</v>
      </c>
      <c r="C61" s="11" t="s">
        <v>114</v>
      </c>
      <c r="D61" s="5">
        <v>590</v>
      </c>
      <c r="E61" s="5">
        <f>Business_Info!$B$3</f>
        <v>20</v>
      </c>
      <c r="F61" s="6">
        <f t="shared" si="2"/>
        <v>570</v>
      </c>
      <c r="G61" s="7">
        <v>24</v>
      </c>
      <c r="H61" s="5">
        <f t="shared" si="3"/>
        <v>14160</v>
      </c>
      <c r="I61" s="7">
        <v>1</v>
      </c>
      <c r="J61" s="3" t="s">
        <v>229</v>
      </c>
      <c r="K61" s="3" t="s">
        <v>327</v>
      </c>
      <c r="L61" s="3" t="s">
        <v>199</v>
      </c>
      <c r="M61" s="3" t="s">
        <v>524</v>
      </c>
      <c r="N61" s="7" t="s">
        <v>116</v>
      </c>
      <c r="O61" s="3" t="s">
        <v>232</v>
      </c>
      <c r="P61" s="7">
        <v>22</v>
      </c>
      <c r="Q61" s="10" t="s">
        <v>49</v>
      </c>
      <c r="R61" s="3" t="s">
        <v>50</v>
      </c>
      <c r="S61" s="3" t="s">
        <v>525</v>
      </c>
      <c r="T61" s="3" t="s">
        <v>526</v>
      </c>
      <c r="U61" s="7">
        <v>3</v>
      </c>
      <c r="V61" s="9" t="s">
        <v>527</v>
      </c>
      <c r="W61" s="9" t="s">
        <v>528</v>
      </c>
      <c r="X61" s="7" t="s">
        <v>40</v>
      </c>
      <c r="Y61" s="9" t="s">
        <v>13</v>
      </c>
    </row>
    <row r="62" spans="1:25" ht="25" x14ac:dyDescent="0.35">
      <c r="A62" s="2" t="s">
        <v>529</v>
      </c>
      <c r="B62" s="3" t="s">
        <v>530</v>
      </c>
      <c r="C62" s="4" t="s">
        <v>27</v>
      </c>
      <c r="D62" s="5">
        <v>740</v>
      </c>
      <c r="E62" s="5">
        <f>Business_Info!$B$3</f>
        <v>20</v>
      </c>
      <c r="F62" s="6">
        <f t="shared" si="2"/>
        <v>720</v>
      </c>
      <c r="G62" s="7">
        <v>22</v>
      </c>
      <c r="H62" s="5">
        <f t="shared" si="3"/>
        <v>16280</v>
      </c>
      <c r="I62" s="7">
        <v>1</v>
      </c>
      <c r="J62" s="3" t="s">
        <v>531</v>
      </c>
      <c r="K62" s="3" t="s">
        <v>532</v>
      </c>
      <c r="L62" s="3" t="s">
        <v>449</v>
      </c>
      <c r="M62" s="3" t="s">
        <v>533</v>
      </c>
      <c r="N62" s="7" t="s">
        <v>32</v>
      </c>
      <c r="O62" s="3" t="s">
        <v>451</v>
      </c>
      <c r="P62" s="7">
        <v>19</v>
      </c>
      <c r="Q62" s="10" t="s">
        <v>49</v>
      </c>
      <c r="R62" s="3" t="s">
        <v>50</v>
      </c>
      <c r="S62" s="3" t="s">
        <v>534</v>
      </c>
      <c r="T62" s="3" t="s">
        <v>535</v>
      </c>
      <c r="U62" s="7">
        <v>4</v>
      </c>
      <c r="V62" s="9" t="s">
        <v>536</v>
      </c>
      <c r="W62" s="9" t="s">
        <v>537</v>
      </c>
      <c r="X62" s="7" t="s">
        <v>40</v>
      </c>
      <c r="Y62" s="9" t="s">
        <v>13</v>
      </c>
    </row>
    <row r="63" spans="1:25" ht="25" x14ac:dyDescent="0.35">
      <c r="A63" s="2" t="s">
        <v>538</v>
      </c>
      <c r="B63" s="3" t="s">
        <v>539</v>
      </c>
      <c r="C63" s="4" t="s">
        <v>27</v>
      </c>
      <c r="D63" s="5">
        <v>780</v>
      </c>
      <c r="E63" s="5">
        <f>Business_Info!$B$3</f>
        <v>20</v>
      </c>
      <c r="F63" s="6">
        <f t="shared" si="2"/>
        <v>760</v>
      </c>
      <c r="G63" s="7">
        <v>20</v>
      </c>
      <c r="H63" s="5">
        <f t="shared" si="3"/>
        <v>15600</v>
      </c>
      <c r="I63" s="7">
        <v>1</v>
      </c>
      <c r="J63" s="3" t="s">
        <v>458</v>
      </c>
      <c r="K63" s="3" t="s">
        <v>540</v>
      </c>
      <c r="L63" s="3" t="s">
        <v>541</v>
      </c>
      <c r="M63" s="3" t="s">
        <v>542</v>
      </c>
      <c r="N63" s="7" t="s">
        <v>47</v>
      </c>
      <c r="O63" s="3" t="s">
        <v>146</v>
      </c>
      <c r="P63" s="7">
        <v>38</v>
      </c>
      <c r="Q63" s="10" t="s">
        <v>49</v>
      </c>
      <c r="R63" s="3" t="s">
        <v>50</v>
      </c>
      <c r="S63" s="3" t="s">
        <v>543</v>
      </c>
      <c r="T63" s="3" t="s">
        <v>544</v>
      </c>
      <c r="U63" s="7">
        <v>4</v>
      </c>
      <c r="V63" s="9" t="s">
        <v>545</v>
      </c>
      <c r="W63" s="9" t="s">
        <v>546</v>
      </c>
      <c r="X63" s="7" t="s">
        <v>40</v>
      </c>
      <c r="Y63" s="9" t="s">
        <v>13</v>
      </c>
    </row>
    <row r="64" spans="1:25" ht="25" x14ac:dyDescent="0.35">
      <c r="A64" s="2" t="s">
        <v>547</v>
      </c>
      <c r="B64" s="3" t="s">
        <v>548</v>
      </c>
      <c r="C64" s="4" t="s">
        <v>27</v>
      </c>
      <c r="D64" s="5">
        <v>800</v>
      </c>
      <c r="E64" s="5">
        <f>Business_Info!$B$3</f>
        <v>20</v>
      </c>
      <c r="F64" s="6">
        <f t="shared" si="2"/>
        <v>780</v>
      </c>
      <c r="G64" s="7">
        <v>18</v>
      </c>
      <c r="H64" s="5">
        <f t="shared" si="3"/>
        <v>14400</v>
      </c>
      <c r="I64" s="7">
        <v>1</v>
      </c>
      <c r="J64" s="3" t="s">
        <v>549</v>
      </c>
      <c r="K64" s="3" t="s">
        <v>550</v>
      </c>
      <c r="L64" s="3" t="s">
        <v>353</v>
      </c>
      <c r="M64" s="3" t="s">
        <v>551</v>
      </c>
      <c r="N64" s="7" t="s">
        <v>47</v>
      </c>
      <c r="O64" s="3" t="s">
        <v>157</v>
      </c>
      <c r="P64" s="7">
        <v>17</v>
      </c>
      <c r="Q64" s="10" t="s">
        <v>49</v>
      </c>
      <c r="R64" s="3" t="s">
        <v>50</v>
      </c>
      <c r="S64" s="3" t="s">
        <v>552</v>
      </c>
      <c r="T64" s="3" t="s">
        <v>553</v>
      </c>
      <c r="U64" s="7">
        <v>4</v>
      </c>
      <c r="V64" s="9" t="s">
        <v>554</v>
      </c>
      <c r="W64" s="9" t="s">
        <v>555</v>
      </c>
      <c r="X64" s="7" t="s">
        <v>40</v>
      </c>
      <c r="Y64" s="9" t="s">
        <v>13</v>
      </c>
    </row>
    <row r="65" spans="1:25" ht="25" x14ac:dyDescent="0.35">
      <c r="A65" s="2" t="s">
        <v>556</v>
      </c>
      <c r="B65" s="3" t="s">
        <v>557</v>
      </c>
      <c r="C65" s="8" t="s">
        <v>66</v>
      </c>
      <c r="D65" s="5">
        <v>680</v>
      </c>
      <c r="E65" s="5">
        <f>Business_Info!$B$3</f>
        <v>20</v>
      </c>
      <c r="F65" s="6">
        <f t="shared" si="2"/>
        <v>660</v>
      </c>
      <c r="G65" s="7">
        <v>22</v>
      </c>
      <c r="H65" s="5">
        <f t="shared" si="3"/>
        <v>14960</v>
      </c>
      <c r="I65" s="7">
        <v>1</v>
      </c>
      <c r="J65" s="3" t="s">
        <v>558</v>
      </c>
      <c r="K65" s="3" t="s">
        <v>165</v>
      </c>
      <c r="L65" s="3" t="s">
        <v>559</v>
      </c>
      <c r="M65" s="3" t="s">
        <v>560</v>
      </c>
      <c r="N65" s="7" t="s">
        <v>70</v>
      </c>
      <c r="O65" s="3" t="s">
        <v>371</v>
      </c>
      <c r="P65" s="7">
        <v>10</v>
      </c>
      <c r="Q65" s="10" t="s">
        <v>49</v>
      </c>
      <c r="R65" s="3" t="s">
        <v>50</v>
      </c>
      <c r="S65" s="3" t="s">
        <v>561</v>
      </c>
      <c r="T65" s="3" t="s">
        <v>562</v>
      </c>
      <c r="U65" s="7">
        <v>4</v>
      </c>
      <c r="V65" s="9" t="s">
        <v>563</v>
      </c>
      <c r="W65" s="9" t="s">
        <v>564</v>
      </c>
      <c r="X65" s="7" t="s">
        <v>40</v>
      </c>
      <c r="Y65" s="9" t="s">
        <v>13</v>
      </c>
    </row>
    <row r="66" spans="1:25" ht="25" x14ac:dyDescent="0.35">
      <c r="A66" s="2" t="s">
        <v>565</v>
      </c>
      <c r="B66" s="3" t="s">
        <v>566</v>
      </c>
      <c r="C66" s="8" t="s">
        <v>66</v>
      </c>
      <c r="D66" s="5">
        <v>780</v>
      </c>
      <c r="E66" s="5">
        <f>Business_Info!$B$3</f>
        <v>20</v>
      </c>
      <c r="F66" s="6">
        <f t="shared" ref="F66:F97" si="4">D66-E66</f>
        <v>760</v>
      </c>
      <c r="G66" s="7">
        <v>20</v>
      </c>
      <c r="H66" s="5">
        <f t="shared" ref="H66:H97" si="5">D66*G66</f>
        <v>15600</v>
      </c>
      <c r="I66" s="7">
        <v>1</v>
      </c>
      <c r="J66" s="3" t="s">
        <v>567</v>
      </c>
      <c r="K66" s="3" t="s">
        <v>568</v>
      </c>
      <c r="L66" s="3" t="s">
        <v>449</v>
      </c>
      <c r="M66" s="3" t="s">
        <v>569</v>
      </c>
      <c r="N66" s="7" t="s">
        <v>70</v>
      </c>
      <c r="O66" s="3" t="s">
        <v>570</v>
      </c>
      <c r="P66" s="7">
        <v>20</v>
      </c>
      <c r="Q66" s="10" t="s">
        <v>49</v>
      </c>
      <c r="R66" s="3" t="s">
        <v>50</v>
      </c>
      <c r="S66" s="3" t="s">
        <v>571</v>
      </c>
      <c r="T66" s="3" t="s">
        <v>572</v>
      </c>
      <c r="U66" s="7">
        <v>4</v>
      </c>
      <c r="V66" s="9" t="s">
        <v>573</v>
      </c>
      <c r="W66" s="9" t="s">
        <v>574</v>
      </c>
      <c r="X66" s="7" t="s">
        <v>40</v>
      </c>
      <c r="Y66" s="9" t="s">
        <v>13</v>
      </c>
    </row>
    <row r="67" spans="1:25" ht="25" x14ac:dyDescent="0.35">
      <c r="A67" s="2" t="s">
        <v>575</v>
      </c>
      <c r="B67" s="3" t="s">
        <v>576</v>
      </c>
      <c r="C67" s="8" t="s">
        <v>66</v>
      </c>
      <c r="D67" s="5">
        <v>720</v>
      </c>
      <c r="E67" s="5">
        <f>Business_Info!$B$3</f>
        <v>20</v>
      </c>
      <c r="F67" s="6">
        <f t="shared" si="4"/>
        <v>700</v>
      </c>
      <c r="G67" s="7">
        <v>18</v>
      </c>
      <c r="H67" s="5">
        <f t="shared" si="5"/>
        <v>12960</v>
      </c>
      <c r="I67" s="7">
        <v>1</v>
      </c>
      <c r="J67" s="3" t="s">
        <v>577</v>
      </c>
      <c r="K67" s="3" t="s">
        <v>578</v>
      </c>
      <c r="L67" s="3" t="s">
        <v>338</v>
      </c>
      <c r="M67" s="3" t="s">
        <v>579</v>
      </c>
      <c r="N67" s="7" t="s">
        <v>80</v>
      </c>
      <c r="O67" s="3" t="s">
        <v>380</v>
      </c>
      <c r="P67" s="7">
        <v>7</v>
      </c>
      <c r="Q67" s="10" t="s">
        <v>49</v>
      </c>
      <c r="R67" s="3" t="s">
        <v>50</v>
      </c>
      <c r="S67" s="3" t="s">
        <v>580</v>
      </c>
      <c r="T67" s="3" t="s">
        <v>581</v>
      </c>
      <c r="U67" s="7">
        <v>4</v>
      </c>
      <c r="V67" s="9" t="s">
        <v>582</v>
      </c>
      <c r="W67" s="9" t="s">
        <v>583</v>
      </c>
      <c r="X67" s="7" t="s">
        <v>40</v>
      </c>
      <c r="Y67" s="9" t="s">
        <v>13</v>
      </c>
    </row>
    <row r="68" spans="1:25" ht="25" x14ac:dyDescent="0.35">
      <c r="A68" s="2" t="s">
        <v>584</v>
      </c>
      <c r="B68" s="3" t="s">
        <v>585</v>
      </c>
      <c r="C68" s="10" t="s">
        <v>97</v>
      </c>
      <c r="D68" s="5">
        <v>490</v>
      </c>
      <c r="E68" s="5">
        <f>Business_Info!$B$3</f>
        <v>20</v>
      </c>
      <c r="F68" s="6">
        <f t="shared" si="4"/>
        <v>470</v>
      </c>
      <c r="G68" s="7">
        <v>30</v>
      </c>
      <c r="H68" s="5">
        <f t="shared" si="5"/>
        <v>14700</v>
      </c>
      <c r="I68" s="7">
        <v>1</v>
      </c>
      <c r="J68" s="3" t="s">
        <v>387</v>
      </c>
      <c r="K68" s="3" t="s">
        <v>132</v>
      </c>
      <c r="L68" s="3" t="s">
        <v>199</v>
      </c>
      <c r="M68" s="3" t="s">
        <v>586</v>
      </c>
      <c r="N68" s="7" t="s">
        <v>116</v>
      </c>
      <c r="O68" s="3" t="s">
        <v>117</v>
      </c>
      <c r="P68" s="7">
        <v>28</v>
      </c>
      <c r="Q68" s="10" t="s">
        <v>49</v>
      </c>
      <c r="R68" s="3" t="s">
        <v>50</v>
      </c>
      <c r="S68" s="3" t="s">
        <v>587</v>
      </c>
      <c r="T68" s="3" t="s">
        <v>588</v>
      </c>
      <c r="U68" s="7">
        <v>4</v>
      </c>
      <c r="V68" s="9" t="s">
        <v>589</v>
      </c>
      <c r="W68" s="9" t="s">
        <v>590</v>
      </c>
      <c r="X68" s="7" t="s">
        <v>40</v>
      </c>
      <c r="Y68" s="9" t="s">
        <v>13</v>
      </c>
    </row>
    <row r="69" spans="1:25" ht="25" x14ac:dyDescent="0.35">
      <c r="A69" s="2" t="s">
        <v>591</v>
      </c>
      <c r="B69" s="3" t="s">
        <v>509</v>
      </c>
      <c r="C69" s="10" t="s">
        <v>97</v>
      </c>
      <c r="D69" s="5">
        <v>540</v>
      </c>
      <c r="E69" s="5">
        <f>Business_Info!$B$3</f>
        <v>20</v>
      </c>
      <c r="F69" s="6">
        <f t="shared" si="4"/>
        <v>520</v>
      </c>
      <c r="G69" s="7">
        <v>28</v>
      </c>
      <c r="H69" s="5">
        <f t="shared" si="5"/>
        <v>15120</v>
      </c>
      <c r="I69" s="7">
        <v>1</v>
      </c>
      <c r="J69" s="3" t="s">
        <v>43</v>
      </c>
      <c r="K69" s="3" t="s">
        <v>510</v>
      </c>
      <c r="L69" s="3" t="s">
        <v>592</v>
      </c>
      <c r="M69" s="3" t="s">
        <v>593</v>
      </c>
      <c r="N69" s="7" t="s">
        <v>99</v>
      </c>
      <c r="O69" s="3" t="s">
        <v>210</v>
      </c>
      <c r="P69" s="7">
        <v>0</v>
      </c>
      <c r="Q69" s="8" t="s">
        <v>34</v>
      </c>
      <c r="R69" s="3" t="s">
        <v>35</v>
      </c>
      <c r="S69" s="3" t="s">
        <v>594</v>
      </c>
      <c r="T69" s="3" t="s">
        <v>595</v>
      </c>
      <c r="U69" s="7">
        <v>4</v>
      </c>
      <c r="V69" s="9" t="s">
        <v>596</v>
      </c>
      <c r="W69" s="9" t="s">
        <v>597</v>
      </c>
      <c r="X69" s="7" t="s">
        <v>40</v>
      </c>
      <c r="Y69" s="9" t="s">
        <v>316</v>
      </c>
    </row>
    <row r="70" spans="1:25" ht="25" x14ac:dyDescent="0.35">
      <c r="A70" s="2" t="s">
        <v>598</v>
      </c>
      <c r="B70" s="3" t="s">
        <v>401</v>
      </c>
      <c r="C70" s="11" t="s">
        <v>114</v>
      </c>
      <c r="D70" s="5">
        <v>440</v>
      </c>
      <c r="E70" s="5">
        <f>Business_Info!$B$3</f>
        <v>20</v>
      </c>
      <c r="F70" s="6">
        <f t="shared" si="4"/>
        <v>420</v>
      </c>
      <c r="G70" s="7">
        <v>32</v>
      </c>
      <c r="H70" s="5">
        <f t="shared" si="5"/>
        <v>14080</v>
      </c>
      <c r="I70" s="7">
        <v>1</v>
      </c>
      <c r="J70" s="3" t="s">
        <v>319</v>
      </c>
      <c r="K70" s="3" t="s">
        <v>218</v>
      </c>
      <c r="L70" s="3" t="s">
        <v>219</v>
      </c>
      <c r="M70" s="3" t="s">
        <v>320</v>
      </c>
      <c r="N70" s="7" t="s">
        <v>221</v>
      </c>
      <c r="O70" s="3" t="s">
        <v>222</v>
      </c>
      <c r="P70" s="7">
        <v>0</v>
      </c>
      <c r="Q70" s="8" t="s">
        <v>34</v>
      </c>
      <c r="R70" s="3" t="s">
        <v>35</v>
      </c>
      <c r="S70" s="3" t="s">
        <v>599</v>
      </c>
      <c r="T70" s="3" t="s">
        <v>600</v>
      </c>
      <c r="U70" s="7">
        <v>4</v>
      </c>
      <c r="V70" s="9" t="s">
        <v>601</v>
      </c>
      <c r="W70" s="9" t="s">
        <v>602</v>
      </c>
      <c r="X70" s="7" t="s">
        <v>40</v>
      </c>
      <c r="Y70" s="9" t="s">
        <v>13</v>
      </c>
    </row>
    <row r="71" spans="1:25" ht="25" x14ac:dyDescent="0.35">
      <c r="A71" s="2" t="s">
        <v>603</v>
      </c>
      <c r="B71" s="3" t="s">
        <v>228</v>
      </c>
      <c r="C71" s="11" t="s">
        <v>114</v>
      </c>
      <c r="D71" s="5">
        <v>590</v>
      </c>
      <c r="E71" s="5">
        <f>Business_Info!$B$3</f>
        <v>20</v>
      </c>
      <c r="F71" s="6">
        <f t="shared" si="4"/>
        <v>570</v>
      </c>
      <c r="G71" s="7">
        <v>24</v>
      </c>
      <c r="H71" s="5">
        <f t="shared" si="5"/>
        <v>14160</v>
      </c>
      <c r="I71" s="7">
        <v>1</v>
      </c>
      <c r="J71" s="3" t="s">
        <v>229</v>
      </c>
      <c r="K71" s="3" t="s">
        <v>175</v>
      </c>
      <c r="L71" s="3" t="s">
        <v>328</v>
      </c>
      <c r="M71" s="3" t="s">
        <v>604</v>
      </c>
      <c r="N71" s="7" t="s">
        <v>116</v>
      </c>
      <c r="O71" s="3" t="s">
        <v>232</v>
      </c>
      <c r="P71" s="7">
        <v>35</v>
      </c>
      <c r="Q71" s="10" t="s">
        <v>49</v>
      </c>
      <c r="R71" s="3" t="s">
        <v>50</v>
      </c>
      <c r="S71" s="3" t="s">
        <v>605</v>
      </c>
      <c r="T71" s="3" t="s">
        <v>606</v>
      </c>
      <c r="U71" s="7">
        <v>4</v>
      </c>
      <c r="V71" s="9" t="s">
        <v>607</v>
      </c>
      <c r="W71" s="9" t="s">
        <v>608</v>
      </c>
      <c r="X71" s="7" t="s">
        <v>40</v>
      </c>
      <c r="Y71" s="9" t="s">
        <v>316</v>
      </c>
    </row>
    <row r="72" spans="1:25" ht="25" x14ac:dyDescent="0.35">
      <c r="A72" s="2" t="s">
        <v>609</v>
      </c>
      <c r="B72" s="3" t="s">
        <v>610</v>
      </c>
      <c r="C72" s="4" t="s">
        <v>27</v>
      </c>
      <c r="D72" s="5">
        <v>690</v>
      </c>
      <c r="E72" s="5">
        <f>Business_Info!$B$3</f>
        <v>20</v>
      </c>
      <c r="F72" s="6">
        <f t="shared" si="4"/>
        <v>670</v>
      </c>
      <c r="G72" s="7">
        <v>24</v>
      </c>
      <c r="H72" s="5">
        <f t="shared" si="5"/>
        <v>16560</v>
      </c>
      <c r="I72" s="7">
        <v>1</v>
      </c>
      <c r="J72" s="3" t="s">
        <v>611</v>
      </c>
      <c r="K72" s="3" t="s">
        <v>612</v>
      </c>
      <c r="L72" s="3" t="s">
        <v>449</v>
      </c>
      <c r="M72" s="3" t="s">
        <v>613</v>
      </c>
      <c r="N72" s="7" t="s">
        <v>32</v>
      </c>
      <c r="O72" s="3" t="s">
        <v>135</v>
      </c>
      <c r="P72" s="7">
        <v>39</v>
      </c>
      <c r="Q72" s="10" t="s">
        <v>49</v>
      </c>
      <c r="R72" s="3" t="s">
        <v>50</v>
      </c>
      <c r="S72" s="3" t="s">
        <v>614</v>
      </c>
      <c r="T72" s="3" t="s">
        <v>615</v>
      </c>
      <c r="U72" s="7">
        <v>4</v>
      </c>
      <c r="V72" s="9" t="s">
        <v>616</v>
      </c>
      <c r="W72" s="9" t="s">
        <v>617</v>
      </c>
      <c r="X72" s="7" t="s">
        <v>40</v>
      </c>
      <c r="Y72" s="9" t="s">
        <v>13</v>
      </c>
    </row>
    <row r="73" spans="1:25" ht="25" x14ac:dyDescent="0.35">
      <c r="A73" s="2" t="s">
        <v>618</v>
      </c>
      <c r="B73" s="3" t="s">
        <v>619</v>
      </c>
      <c r="C73" s="4" t="s">
        <v>27</v>
      </c>
      <c r="D73" s="5">
        <v>780</v>
      </c>
      <c r="E73" s="5">
        <f>Business_Info!$B$3</f>
        <v>20</v>
      </c>
      <c r="F73" s="6">
        <f t="shared" si="4"/>
        <v>760</v>
      </c>
      <c r="G73" s="7">
        <v>20</v>
      </c>
      <c r="H73" s="5">
        <f t="shared" si="5"/>
        <v>15600</v>
      </c>
      <c r="I73" s="7">
        <v>1</v>
      </c>
      <c r="J73" s="3" t="s">
        <v>458</v>
      </c>
      <c r="K73" s="3" t="s">
        <v>620</v>
      </c>
      <c r="L73" s="3" t="s">
        <v>621</v>
      </c>
      <c r="M73" s="3" t="s">
        <v>145</v>
      </c>
      <c r="N73" s="7" t="s">
        <v>47</v>
      </c>
      <c r="O73" s="3" t="s">
        <v>146</v>
      </c>
      <c r="P73" s="7">
        <v>25</v>
      </c>
      <c r="Q73" s="10" t="s">
        <v>49</v>
      </c>
      <c r="R73" s="3" t="s">
        <v>50</v>
      </c>
      <c r="S73" s="3" t="s">
        <v>622</v>
      </c>
      <c r="T73" s="3" t="s">
        <v>623</v>
      </c>
      <c r="U73" s="7">
        <v>4</v>
      </c>
      <c r="V73" s="9" t="s">
        <v>624</v>
      </c>
      <c r="W73" s="9" t="s">
        <v>625</v>
      </c>
      <c r="X73" s="7" t="s">
        <v>40</v>
      </c>
      <c r="Y73" s="9" t="s">
        <v>13</v>
      </c>
    </row>
    <row r="74" spans="1:25" ht="25" x14ac:dyDescent="0.35">
      <c r="A74" s="2" t="s">
        <v>626</v>
      </c>
      <c r="B74" s="3" t="s">
        <v>627</v>
      </c>
      <c r="C74" s="4" t="s">
        <v>27</v>
      </c>
      <c r="D74" s="5">
        <v>800</v>
      </c>
      <c r="E74" s="5">
        <f>Business_Info!$B$3</f>
        <v>20</v>
      </c>
      <c r="F74" s="6">
        <f t="shared" si="4"/>
        <v>780</v>
      </c>
      <c r="G74" s="7">
        <v>18</v>
      </c>
      <c r="H74" s="5">
        <f t="shared" si="5"/>
        <v>14400</v>
      </c>
      <c r="I74" s="7">
        <v>1</v>
      </c>
      <c r="J74" s="3" t="s">
        <v>628</v>
      </c>
      <c r="K74" s="3" t="s">
        <v>550</v>
      </c>
      <c r="L74" s="3" t="s">
        <v>353</v>
      </c>
      <c r="M74" s="3" t="s">
        <v>629</v>
      </c>
      <c r="N74" s="7" t="s">
        <v>47</v>
      </c>
      <c r="O74" s="3" t="s">
        <v>157</v>
      </c>
      <c r="P74" s="7">
        <v>8</v>
      </c>
      <c r="Q74" s="10" t="s">
        <v>49</v>
      </c>
      <c r="R74" s="3" t="s">
        <v>50</v>
      </c>
      <c r="S74" s="3" t="s">
        <v>630</v>
      </c>
      <c r="T74" s="3" t="s">
        <v>631</v>
      </c>
      <c r="U74" s="7">
        <v>4</v>
      </c>
      <c r="V74" s="9" t="s">
        <v>632</v>
      </c>
      <c r="W74" s="9" t="s">
        <v>633</v>
      </c>
      <c r="X74" s="7" t="s">
        <v>40</v>
      </c>
      <c r="Y74" s="9" t="s">
        <v>13</v>
      </c>
    </row>
    <row r="75" spans="1:25" ht="25" x14ac:dyDescent="0.35">
      <c r="A75" s="2" t="s">
        <v>634</v>
      </c>
      <c r="B75" s="3" t="s">
        <v>635</v>
      </c>
      <c r="C75" s="8" t="s">
        <v>66</v>
      </c>
      <c r="D75" s="5">
        <v>670</v>
      </c>
      <c r="E75" s="5">
        <f>Business_Info!$B$3</f>
        <v>20</v>
      </c>
      <c r="F75" s="6">
        <f t="shared" si="4"/>
        <v>650</v>
      </c>
      <c r="G75" s="7">
        <v>24</v>
      </c>
      <c r="H75" s="5">
        <f t="shared" si="5"/>
        <v>16080</v>
      </c>
      <c r="I75" s="7">
        <v>1</v>
      </c>
      <c r="J75" s="3" t="s">
        <v>272</v>
      </c>
      <c r="K75" s="3" t="s">
        <v>251</v>
      </c>
      <c r="L75" s="3" t="s">
        <v>273</v>
      </c>
      <c r="M75" s="3" t="s">
        <v>636</v>
      </c>
      <c r="N75" s="7" t="s">
        <v>70</v>
      </c>
      <c r="O75" s="3" t="s">
        <v>275</v>
      </c>
      <c r="P75" s="7">
        <v>25</v>
      </c>
      <c r="Q75" s="10" t="s">
        <v>49</v>
      </c>
      <c r="R75" s="3" t="s">
        <v>50</v>
      </c>
      <c r="S75" s="3" t="s">
        <v>637</v>
      </c>
      <c r="T75" s="3" t="s">
        <v>638</v>
      </c>
      <c r="U75" s="7">
        <v>4</v>
      </c>
      <c r="V75" s="9" t="s">
        <v>639</v>
      </c>
      <c r="W75" s="9" t="s">
        <v>640</v>
      </c>
      <c r="X75" s="7" t="s">
        <v>40</v>
      </c>
      <c r="Y75" s="9" t="s">
        <v>13</v>
      </c>
    </row>
    <row r="76" spans="1:25" ht="25" x14ac:dyDescent="0.35">
      <c r="A76" s="2" t="s">
        <v>641</v>
      </c>
      <c r="B76" s="3" t="s">
        <v>642</v>
      </c>
      <c r="C76" s="8" t="s">
        <v>66</v>
      </c>
      <c r="D76" s="5">
        <v>760</v>
      </c>
      <c r="E76" s="5">
        <f>Business_Info!$B$3</f>
        <v>20</v>
      </c>
      <c r="F76" s="6">
        <f t="shared" si="4"/>
        <v>740</v>
      </c>
      <c r="G76" s="7">
        <v>20</v>
      </c>
      <c r="H76" s="5">
        <f t="shared" si="5"/>
        <v>15200</v>
      </c>
      <c r="I76" s="7">
        <v>1</v>
      </c>
      <c r="J76" s="3" t="s">
        <v>643</v>
      </c>
      <c r="K76" s="3" t="s">
        <v>644</v>
      </c>
      <c r="L76" s="3" t="s">
        <v>645</v>
      </c>
      <c r="M76" s="3" t="s">
        <v>461</v>
      </c>
      <c r="N76" s="7" t="s">
        <v>80</v>
      </c>
      <c r="O76" s="3" t="s">
        <v>285</v>
      </c>
      <c r="P76" s="7">
        <v>0</v>
      </c>
      <c r="Q76" s="8" t="s">
        <v>34</v>
      </c>
      <c r="R76" s="3" t="s">
        <v>35</v>
      </c>
      <c r="S76" s="3" t="s">
        <v>646</v>
      </c>
      <c r="T76" s="3" t="s">
        <v>647</v>
      </c>
      <c r="U76" s="7">
        <v>4</v>
      </c>
      <c r="V76" s="9" t="s">
        <v>648</v>
      </c>
      <c r="W76" s="9" t="s">
        <v>649</v>
      </c>
      <c r="X76" s="7" t="s">
        <v>40</v>
      </c>
      <c r="Y76" s="9" t="s">
        <v>13</v>
      </c>
    </row>
    <row r="77" spans="1:25" ht="25" x14ac:dyDescent="0.35">
      <c r="A77" s="2" t="s">
        <v>650</v>
      </c>
      <c r="B77" s="3" t="s">
        <v>651</v>
      </c>
      <c r="C77" s="8" t="s">
        <v>66</v>
      </c>
      <c r="D77" s="5">
        <v>730</v>
      </c>
      <c r="E77" s="5">
        <f>Business_Info!$B$3</f>
        <v>20</v>
      </c>
      <c r="F77" s="6">
        <f t="shared" si="4"/>
        <v>710</v>
      </c>
      <c r="G77" s="7">
        <v>18</v>
      </c>
      <c r="H77" s="5">
        <f t="shared" si="5"/>
        <v>13140</v>
      </c>
      <c r="I77" s="7">
        <v>1</v>
      </c>
      <c r="J77" s="3" t="s">
        <v>652</v>
      </c>
      <c r="K77" s="3" t="s">
        <v>175</v>
      </c>
      <c r="L77" s="3" t="s">
        <v>653</v>
      </c>
      <c r="M77" s="3" t="s">
        <v>654</v>
      </c>
      <c r="N77" s="7" t="s">
        <v>70</v>
      </c>
      <c r="O77" s="3" t="s">
        <v>295</v>
      </c>
      <c r="P77" s="7">
        <v>14</v>
      </c>
      <c r="Q77" s="10" t="s">
        <v>49</v>
      </c>
      <c r="R77" s="3" t="s">
        <v>50</v>
      </c>
      <c r="S77" s="3" t="s">
        <v>655</v>
      </c>
      <c r="T77" s="3" t="s">
        <v>656</v>
      </c>
      <c r="U77" s="7">
        <v>4</v>
      </c>
      <c r="V77" s="9" t="s">
        <v>657</v>
      </c>
      <c r="W77" s="9" t="s">
        <v>658</v>
      </c>
      <c r="X77" s="7" t="s">
        <v>40</v>
      </c>
      <c r="Y77" s="9" t="s">
        <v>13</v>
      </c>
    </row>
    <row r="78" spans="1:25" ht="25" x14ac:dyDescent="0.35">
      <c r="A78" s="2" t="s">
        <v>659</v>
      </c>
      <c r="B78" s="3" t="s">
        <v>660</v>
      </c>
      <c r="C78" s="10" t="s">
        <v>97</v>
      </c>
      <c r="D78" s="5">
        <v>490</v>
      </c>
      <c r="E78" s="5">
        <f>Business_Info!$B$3</f>
        <v>20</v>
      </c>
      <c r="F78" s="6">
        <f t="shared" si="4"/>
        <v>470</v>
      </c>
      <c r="G78" s="7">
        <v>30</v>
      </c>
      <c r="H78" s="5">
        <f t="shared" si="5"/>
        <v>14700</v>
      </c>
      <c r="I78" s="7">
        <v>1</v>
      </c>
      <c r="J78" s="3" t="s">
        <v>387</v>
      </c>
      <c r="K78" s="3" t="s">
        <v>661</v>
      </c>
      <c r="L78" s="3" t="s">
        <v>199</v>
      </c>
      <c r="M78" s="3" t="s">
        <v>586</v>
      </c>
      <c r="N78" s="7" t="s">
        <v>116</v>
      </c>
      <c r="O78" s="3" t="s">
        <v>117</v>
      </c>
      <c r="P78" s="7">
        <v>19</v>
      </c>
      <c r="Q78" s="10" t="s">
        <v>49</v>
      </c>
      <c r="R78" s="3" t="s">
        <v>50</v>
      </c>
      <c r="S78" s="3" t="s">
        <v>662</v>
      </c>
      <c r="T78" s="3" t="s">
        <v>663</v>
      </c>
      <c r="U78" s="7">
        <v>4</v>
      </c>
      <c r="V78" s="9" t="s">
        <v>664</v>
      </c>
      <c r="W78" s="9" t="s">
        <v>665</v>
      </c>
      <c r="X78" s="7" t="s">
        <v>40</v>
      </c>
      <c r="Y78" s="9" t="s">
        <v>13</v>
      </c>
    </row>
    <row r="79" spans="1:25" ht="25" x14ac:dyDescent="0.35">
      <c r="A79" s="2" t="s">
        <v>666</v>
      </c>
      <c r="B79" s="3" t="s">
        <v>394</v>
      </c>
      <c r="C79" s="10" t="s">
        <v>97</v>
      </c>
      <c r="D79" s="5">
        <v>550</v>
      </c>
      <c r="E79" s="5">
        <f>Business_Info!$B$3</f>
        <v>20</v>
      </c>
      <c r="F79" s="6">
        <f t="shared" si="4"/>
        <v>530</v>
      </c>
      <c r="G79" s="7">
        <v>28</v>
      </c>
      <c r="H79" s="5">
        <f t="shared" si="5"/>
        <v>15400</v>
      </c>
      <c r="I79" s="7">
        <v>1</v>
      </c>
      <c r="J79" s="3" t="s">
        <v>43</v>
      </c>
      <c r="K79" s="3" t="s">
        <v>29</v>
      </c>
      <c r="L79" s="3" t="s">
        <v>208</v>
      </c>
      <c r="M79" s="3" t="s">
        <v>667</v>
      </c>
      <c r="N79" s="7" t="s">
        <v>99</v>
      </c>
      <c r="O79" s="3" t="s">
        <v>210</v>
      </c>
      <c r="P79" s="7">
        <v>25</v>
      </c>
      <c r="Q79" s="10" t="s">
        <v>49</v>
      </c>
      <c r="R79" s="3" t="s">
        <v>50</v>
      </c>
      <c r="S79" s="3" t="s">
        <v>668</v>
      </c>
      <c r="T79" s="3" t="s">
        <v>669</v>
      </c>
      <c r="U79" s="7">
        <v>4</v>
      </c>
      <c r="V79" s="9" t="s">
        <v>670</v>
      </c>
      <c r="W79" s="9" t="s">
        <v>671</v>
      </c>
      <c r="X79" s="7" t="s">
        <v>40</v>
      </c>
      <c r="Y79" s="9" t="s">
        <v>13</v>
      </c>
    </row>
    <row r="80" spans="1:25" ht="25" x14ac:dyDescent="0.35">
      <c r="A80" s="2" t="s">
        <v>672</v>
      </c>
      <c r="B80" s="3" t="s">
        <v>401</v>
      </c>
      <c r="C80" s="11" t="s">
        <v>114</v>
      </c>
      <c r="D80" s="5">
        <v>440</v>
      </c>
      <c r="E80" s="5">
        <f>Business_Info!$B$3</f>
        <v>20</v>
      </c>
      <c r="F80" s="6">
        <f t="shared" si="4"/>
        <v>420</v>
      </c>
      <c r="G80" s="7">
        <v>32</v>
      </c>
      <c r="H80" s="5">
        <f t="shared" si="5"/>
        <v>14080</v>
      </c>
      <c r="I80" s="7">
        <v>1</v>
      </c>
      <c r="J80" s="3" t="s">
        <v>319</v>
      </c>
      <c r="K80" s="3" t="s">
        <v>218</v>
      </c>
      <c r="L80" s="3" t="s">
        <v>219</v>
      </c>
      <c r="M80" s="3" t="s">
        <v>320</v>
      </c>
      <c r="N80" s="7" t="s">
        <v>221</v>
      </c>
      <c r="O80" s="3" t="s">
        <v>222</v>
      </c>
      <c r="P80" s="7">
        <v>0</v>
      </c>
      <c r="Q80" s="8" t="s">
        <v>34</v>
      </c>
      <c r="R80" s="3" t="s">
        <v>35</v>
      </c>
      <c r="S80" s="3" t="s">
        <v>599</v>
      </c>
      <c r="T80" s="3" t="s">
        <v>600</v>
      </c>
      <c r="U80" s="7">
        <v>4</v>
      </c>
      <c r="V80" s="9" t="s">
        <v>673</v>
      </c>
      <c r="W80" s="9" t="s">
        <v>674</v>
      </c>
      <c r="X80" s="7" t="s">
        <v>40</v>
      </c>
      <c r="Y80" s="9" t="s">
        <v>13</v>
      </c>
    </row>
    <row r="81" spans="1:25" ht="25" x14ac:dyDescent="0.35">
      <c r="A81" s="2" t="s">
        <v>675</v>
      </c>
      <c r="B81" s="3" t="s">
        <v>228</v>
      </c>
      <c r="C81" s="11" t="s">
        <v>114</v>
      </c>
      <c r="D81" s="5">
        <v>590</v>
      </c>
      <c r="E81" s="5">
        <f>Business_Info!$B$3</f>
        <v>20</v>
      </c>
      <c r="F81" s="6">
        <f t="shared" si="4"/>
        <v>570</v>
      </c>
      <c r="G81" s="7">
        <v>24</v>
      </c>
      <c r="H81" s="5">
        <f t="shared" si="5"/>
        <v>14160</v>
      </c>
      <c r="I81" s="7">
        <v>1</v>
      </c>
      <c r="J81" s="3" t="s">
        <v>229</v>
      </c>
      <c r="K81" s="3" t="s">
        <v>175</v>
      </c>
      <c r="L81" s="3" t="s">
        <v>328</v>
      </c>
      <c r="M81" s="3" t="s">
        <v>604</v>
      </c>
      <c r="N81" s="7" t="s">
        <v>116</v>
      </c>
      <c r="O81" s="3" t="s">
        <v>232</v>
      </c>
      <c r="P81" s="7">
        <v>7</v>
      </c>
      <c r="Q81" s="10" t="s">
        <v>49</v>
      </c>
      <c r="R81" s="3" t="s">
        <v>50</v>
      </c>
      <c r="S81" s="3" t="s">
        <v>605</v>
      </c>
      <c r="T81" s="3" t="s">
        <v>606</v>
      </c>
      <c r="U81" s="7">
        <v>4</v>
      </c>
      <c r="V81" s="9" t="s">
        <v>676</v>
      </c>
      <c r="W81" s="9" t="s">
        <v>677</v>
      </c>
      <c r="X81" s="7" t="s">
        <v>40</v>
      </c>
      <c r="Y81" s="9" t="s">
        <v>316</v>
      </c>
    </row>
    <row r="82" spans="1:25" ht="25" x14ac:dyDescent="0.35">
      <c r="A82" s="2" t="s">
        <v>678</v>
      </c>
      <c r="B82" s="3" t="s">
        <v>679</v>
      </c>
      <c r="C82" s="4" t="s">
        <v>27</v>
      </c>
      <c r="D82" s="5">
        <v>700</v>
      </c>
      <c r="E82" s="5">
        <f>Business_Info!$B$3</f>
        <v>20</v>
      </c>
      <c r="F82" s="6">
        <f t="shared" si="4"/>
        <v>680</v>
      </c>
      <c r="G82" s="7">
        <v>24</v>
      </c>
      <c r="H82" s="5">
        <f t="shared" si="5"/>
        <v>16800</v>
      </c>
      <c r="I82" s="7">
        <v>1</v>
      </c>
      <c r="J82" s="3" t="s">
        <v>611</v>
      </c>
      <c r="K82" s="3" t="s">
        <v>680</v>
      </c>
      <c r="L82" s="3" t="s">
        <v>449</v>
      </c>
      <c r="M82" s="3" t="s">
        <v>681</v>
      </c>
      <c r="N82" s="7" t="s">
        <v>32</v>
      </c>
      <c r="O82" s="3" t="s">
        <v>135</v>
      </c>
      <c r="P82" s="7">
        <v>0</v>
      </c>
      <c r="Q82" s="8" t="s">
        <v>34</v>
      </c>
      <c r="R82" s="3" t="s">
        <v>35</v>
      </c>
      <c r="S82" s="3" t="s">
        <v>682</v>
      </c>
      <c r="T82" s="3" t="s">
        <v>683</v>
      </c>
      <c r="U82" s="7">
        <v>5</v>
      </c>
      <c r="V82" s="9" t="s">
        <v>684</v>
      </c>
      <c r="W82" s="9" t="s">
        <v>685</v>
      </c>
      <c r="X82" s="7" t="s">
        <v>40</v>
      </c>
      <c r="Y82" s="9" t="s">
        <v>13</v>
      </c>
    </row>
    <row r="83" spans="1:25" ht="25" x14ac:dyDescent="0.35">
      <c r="A83" s="2" t="s">
        <v>686</v>
      </c>
      <c r="B83" s="3" t="s">
        <v>687</v>
      </c>
      <c r="C83" s="4" t="s">
        <v>27</v>
      </c>
      <c r="D83" s="5">
        <v>790</v>
      </c>
      <c r="E83" s="5">
        <f>Business_Info!$B$3</f>
        <v>20</v>
      </c>
      <c r="F83" s="6">
        <f t="shared" si="4"/>
        <v>770</v>
      </c>
      <c r="G83" s="7">
        <v>20</v>
      </c>
      <c r="H83" s="5">
        <f t="shared" si="5"/>
        <v>15800</v>
      </c>
      <c r="I83" s="7">
        <v>1</v>
      </c>
      <c r="J83" s="3" t="s">
        <v>458</v>
      </c>
      <c r="K83" s="3" t="s">
        <v>688</v>
      </c>
      <c r="L83" s="3" t="s">
        <v>621</v>
      </c>
      <c r="M83" s="3" t="s">
        <v>689</v>
      </c>
      <c r="N83" s="7" t="s">
        <v>47</v>
      </c>
      <c r="O83" s="3" t="s">
        <v>146</v>
      </c>
      <c r="P83" s="7">
        <v>1</v>
      </c>
      <c r="Q83" s="11" t="s">
        <v>190</v>
      </c>
      <c r="R83" s="3" t="s">
        <v>50</v>
      </c>
      <c r="S83" s="3" t="s">
        <v>690</v>
      </c>
      <c r="T83" s="3" t="s">
        <v>691</v>
      </c>
      <c r="U83" s="7">
        <v>5</v>
      </c>
      <c r="V83" s="9" t="s">
        <v>692</v>
      </c>
      <c r="W83" s="9" t="s">
        <v>693</v>
      </c>
      <c r="X83" s="7" t="s">
        <v>40</v>
      </c>
      <c r="Y83" s="9" t="s">
        <v>13</v>
      </c>
    </row>
    <row r="84" spans="1:25" ht="25" x14ac:dyDescent="0.35">
      <c r="A84" s="2" t="s">
        <v>694</v>
      </c>
      <c r="B84" s="3" t="s">
        <v>695</v>
      </c>
      <c r="C84" s="4" t="s">
        <v>27</v>
      </c>
      <c r="D84" s="5">
        <v>800</v>
      </c>
      <c r="E84" s="5">
        <f>Business_Info!$B$3</f>
        <v>20</v>
      </c>
      <c r="F84" s="6">
        <f t="shared" si="4"/>
        <v>780</v>
      </c>
      <c r="G84" s="7">
        <v>18</v>
      </c>
      <c r="H84" s="5">
        <f t="shared" si="5"/>
        <v>14400</v>
      </c>
      <c r="I84" s="7">
        <v>1</v>
      </c>
      <c r="J84" s="3" t="s">
        <v>696</v>
      </c>
      <c r="K84" s="3" t="s">
        <v>282</v>
      </c>
      <c r="L84" s="3" t="s">
        <v>697</v>
      </c>
      <c r="M84" s="3" t="s">
        <v>698</v>
      </c>
      <c r="N84" s="7" t="s">
        <v>47</v>
      </c>
      <c r="O84" s="3" t="s">
        <v>157</v>
      </c>
      <c r="P84" s="7">
        <v>37</v>
      </c>
      <c r="Q84" s="10" t="s">
        <v>49</v>
      </c>
      <c r="R84" s="3" t="s">
        <v>50</v>
      </c>
      <c r="S84" s="3" t="s">
        <v>699</v>
      </c>
      <c r="T84" s="3" t="s">
        <v>700</v>
      </c>
      <c r="U84" s="7">
        <v>5</v>
      </c>
      <c r="V84" s="9" t="s">
        <v>701</v>
      </c>
      <c r="W84" s="9" t="s">
        <v>702</v>
      </c>
      <c r="X84" s="7" t="s">
        <v>40</v>
      </c>
      <c r="Y84" s="9" t="s">
        <v>13</v>
      </c>
    </row>
    <row r="85" spans="1:25" ht="25" x14ac:dyDescent="0.35">
      <c r="A85" s="2" t="s">
        <v>703</v>
      </c>
      <c r="B85" s="3" t="s">
        <v>704</v>
      </c>
      <c r="C85" s="8" t="s">
        <v>66</v>
      </c>
      <c r="D85" s="5">
        <v>680</v>
      </c>
      <c r="E85" s="5">
        <f>Business_Info!$B$3</f>
        <v>20</v>
      </c>
      <c r="F85" s="6">
        <f t="shared" si="4"/>
        <v>660</v>
      </c>
      <c r="G85" s="7">
        <v>24</v>
      </c>
      <c r="H85" s="5">
        <f t="shared" si="5"/>
        <v>16320</v>
      </c>
      <c r="I85" s="7">
        <v>1</v>
      </c>
      <c r="J85" s="3" t="s">
        <v>705</v>
      </c>
      <c r="K85" s="3" t="s">
        <v>706</v>
      </c>
      <c r="L85" s="3" t="s">
        <v>273</v>
      </c>
      <c r="M85" s="3" t="s">
        <v>707</v>
      </c>
      <c r="N85" s="7" t="s">
        <v>70</v>
      </c>
      <c r="O85" s="3" t="s">
        <v>275</v>
      </c>
      <c r="P85" s="7">
        <v>6</v>
      </c>
      <c r="Q85" s="10" t="s">
        <v>49</v>
      </c>
      <c r="R85" s="3" t="s">
        <v>50</v>
      </c>
      <c r="S85" s="3" t="s">
        <v>708</v>
      </c>
      <c r="T85" s="3" t="s">
        <v>709</v>
      </c>
      <c r="U85" s="7">
        <v>5</v>
      </c>
      <c r="V85" s="9" t="s">
        <v>710</v>
      </c>
      <c r="W85" s="9" t="s">
        <v>711</v>
      </c>
      <c r="X85" s="7" t="s">
        <v>40</v>
      </c>
      <c r="Y85" s="9" t="s">
        <v>13</v>
      </c>
    </row>
    <row r="86" spans="1:25" ht="25" x14ac:dyDescent="0.35">
      <c r="A86" s="2" t="s">
        <v>712</v>
      </c>
      <c r="B86" s="3" t="s">
        <v>713</v>
      </c>
      <c r="C86" s="8" t="s">
        <v>66</v>
      </c>
      <c r="D86" s="5">
        <v>770</v>
      </c>
      <c r="E86" s="5">
        <f>Business_Info!$B$3</f>
        <v>20</v>
      </c>
      <c r="F86" s="6">
        <f t="shared" si="4"/>
        <v>750</v>
      </c>
      <c r="G86" s="7">
        <v>20</v>
      </c>
      <c r="H86" s="5">
        <f t="shared" si="5"/>
        <v>15400</v>
      </c>
      <c r="I86" s="7">
        <v>1</v>
      </c>
      <c r="J86" s="3" t="s">
        <v>643</v>
      </c>
      <c r="K86" s="3" t="s">
        <v>485</v>
      </c>
      <c r="L86" s="3" t="s">
        <v>714</v>
      </c>
      <c r="M86" s="3" t="s">
        <v>487</v>
      </c>
      <c r="N86" s="7" t="s">
        <v>80</v>
      </c>
      <c r="O86" s="3" t="s">
        <v>285</v>
      </c>
      <c r="P86" s="7">
        <v>30</v>
      </c>
      <c r="Q86" s="10" t="s">
        <v>49</v>
      </c>
      <c r="R86" s="3" t="s">
        <v>50</v>
      </c>
      <c r="S86" s="3" t="s">
        <v>715</v>
      </c>
      <c r="T86" s="3" t="s">
        <v>716</v>
      </c>
      <c r="U86" s="7">
        <v>5</v>
      </c>
      <c r="V86" s="9" t="s">
        <v>717</v>
      </c>
      <c r="W86" s="9" t="s">
        <v>718</v>
      </c>
      <c r="X86" s="7" t="s">
        <v>40</v>
      </c>
      <c r="Y86" s="9" t="s">
        <v>13</v>
      </c>
    </row>
    <row r="87" spans="1:25" ht="25" x14ac:dyDescent="0.35">
      <c r="A87" s="2" t="s">
        <v>719</v>
      </c>
      <c r="B87" s="3" t="s">
        <v>651</v>
      </c>
      <c r="C87" s="8" t="s">
        <v>66</v>
      </c>
      <c r="D87" s="5">
        <v>730</v>
      </c>
      <c r="E87" s="5">
        <f>Business_Info!$B$3</f>
        <v>20</v>
      </c>
      <c r="F87" s="6">
        <f t="shared" si="4"/>
        <v>710</v>
      </c>
      <c r="G87" s="7">
        <v>18</v>
      </c>
      <c r="H87" s="5">
        <f t="shared" si="5"/>
        <v>13140</v>
      </c>
      <c r="I87" s="7">
        <v>1</v>
      </c>
      <c r="J87" s="3" t="s">
        <v>652</v>
      </c>
      <c r="K87" s="3" t="s">
        <v>175</v>
      </c>
      <c r="L87" s="3" t="s">
        <v>653</v>
      </c>
      <c r="M87" s="3" t="s">
        <v>654</v>
      </c>
      <c r="N87" s="7" t="s">
        <v>70</v>
      </c>
      <c r="O87" s="3" t="s">
        <v>295</v>
      </c>
      <c r="P87" s="7">
        <v>35</v>
      </c>
      <c r="Q87" s="10" t="s">
        <v>49</v>
      </c>
      <c r="R87" s="3" t="s">
        <v>50</v>
      </c>
      <c r="S87" s="3" t="s">
        <v>655</v>
      </c>
      <c r="T87" s="3" t="s">
        <v>656</v>
      </c>
      <c r="U87" s="7">
        <v>5</v>
      </c>
      <c r="V87" s="9" t="s">
        <v>720</v>
      </c>
      <c r="W87" s="9" t="s">
        <v>721</v>
      </c>
      <c r="X87" s="7" t="s">
        <v>40</v>
      </c>
      <c r="Y87" s="9" t="s">
        <v>13</v>
      </c>
    </row>
    <row r="88" spans="1:25" ht="25" x14ac:dyDescent="0.35">
      <c r="A88" s="2" t="s">
        <v>722</v>
      </c>
      <c r="B88" s="3" t="s">
        <v>723</v>
      </c>
      <c r="C88" s="10" t="s">
        <v>97</v>
      </c>
      <c r="D88" s="5">
        <v>510</v>
      </c>
      <c r="E88" s="5">
        <f>Business_Info!$B$3</f>
        <v>20</v>
      </c>
      <c r="F88" s="6">
        <f t="shared" si="4"/>
        <v>490</v>
      </c>
      <c r="G88" s="7">
        <v>30</v>
      </c>
      <c r="H88" s="5">
        <f t="shared" si="5"/>
        <v>15300</v>
      </c>
      <c r="I88" s="7">
        <v>1</v>
      </c>
      <c r="J88" s="3" t="s">
        <v>387</v>
      </c>
      <c r="K88" s="3" t="s">
        <v>724</v>
      </c>
      <c r="L88" s="3" t="s">
        <v>199</v>
      </c>
      <c r="M88" s="3" t="s">
        <v>725</v>
      </c>
      <c r="N88" s="7" t="s">
        <v>116</v>
      </c>
      <c r="O88" s="3" t="s">
        <v>117</v>
      </c>
      <c r="P88" s="7">
        <v>11</v>
      </c>
      <c r="Q88" s="10" t="s">
        <v>49</v>
      </c>
      <c r="R88" s="3" t="s">
        <v>50</v>
      </c>
      <c r="S88" s="3" t="s">
        <v>726</v>
      </c>
      <c r="T88" s="3" t="s">
        <v>727</v>
      </c>
      <c r="U88" s="7">
        <v>5</v>
      </c>
      <c r="V88" s="9" t="s">
        <v>728</v>
      </c>
      <c r="W88" s="9" t="s">
        <v>729</v>
      </c>
      <c r="X88" s="7" t="s">
        <v>40</v>
      </c>
      <c r="Y88" s="9" t="s">
        <v>13</v>
      </c>
    </row>
    <row r="89" spans="1:25" ht="25" x14ac:dyDescent="0.35">
      <c r="A89" s="2" t="s">
        <v>730</v>
      </c>
      <c r="B89" s="3" t="s">
        <v>731</v>
      </c>
      <c r="C89" s="10" t="s">
        <v>97</v>
      </c>
      <c r="D89" s="5">
        <v>560</v>
      </c>
      <c r="E89" s="5">
        <f>Business_Info!$B$3</f>
        <v>20</v>
      </c>
      <c r="F89" s="6">
        <f t="shared" si="4"/>
        <v>540</v>
      </c>
      <c r="G89" s="7">
        <v>28</v>
      </c>
      <c r="H89" s="5">
        <f t="shared" si="5"/>
        <v>15680</v>
      </c>
      <c r="I89" s="7">
        <v>1</v>
      </c>
      <c r="J89" s="3" t="s">
        <v>43</v>
      </c>
      <c r="K89" s="3" t="s">
        <v>732</v>
      </c>
      <c r="L89" s="3" t="s">
        <v>208</v>
      </c>
      <c r="M89" s="3" t="s">
        <v>733</v>
      </c>
      <c r="N89" s="7" t="s">
        <v>99</v>
      </c>
      <c r="O89" s="3" t="s">
        <v>210</v>
      </c>
      <c r="P89" s="7">
        <v>19</v>
      </c>
      <c r="Q89" s="10" t="s">
        <v>49</v>
      </c>
      <c r="R89" s="3" t="s">
        <v>50</v>
      </c>
      <c r="S89" s="3" t="s">
        <v>734</v>
      </c>
      <c r="T89" s="3" t="s">
        <v>735</v>
      </c>
      <c r="U89" s="7">
        <v>5</v>
      </c>
      <c r="V89" s="9" t="s">
        <v>736</v>
      </c>
      <c r="W89" s="9" t="s">
        <v>737</v>
      </c>
      <c r="X89" s="7" t="s">
        <v>40</v>
      </c>
      <c r="Y89" s="9" t="s">
        <v>13</v>
      </c>
    </row>
    <row r="90" spans="1:25" ht="25" x14ac:dyDescent="0.35">
      <c r="A90" s="2" t="s">
        <v>738</v>
      </c>
      <c r="B90" s="3" t="s">
        <v>739</v>
      </c>
      <c r="C90" s="11" t="s">
        <v>114</v>
      </c>
      <c r="D90" s="5">
        <v>460</v>
      </c>
      <c r="E90" s="5">
        <f>Business_Info!$B$3</f>
        <v>20</v>
      </c>
      <c r="F90" s="6">
        <f t="shared" si="4"/>
        <v>440</v>
      </c>
      <c r="G90" s="7">
        <v>32</v>
      </c>
      <c r="H90" s="5">
        <f t="shared" si="5"/>
        <v>14720</v>
      </c>
      <c r="I90" s="7">
        <v>1</v>
      </c>
      <c r="J90" s="3" t="s">
        <v>740</v>
      </c>
      <c r="K90" s="3" t="s">
        <v>741</v>
      </c>
      <c r="L90" s="3" t="s">
        <v>219</v>
      </c>
      <c r="M90" s="3" t="s">
        <v>742</v>
      </c>
      <c r="N90" s="7" t="s">
        <v>221</v>
      </c>
      <c r="O90" s="3" t="s">
        <v>222</v>
      </c>
      <c r="P90" s="7">
        <v>3</v>
      </c>
      <c r="Q90" s="11" t="s">
        <v>190</v>
      </c>
      <c r="R90" s="3" t="s">
        <v>50</v>
      </c>
      <c r="S90" s="3" t="s">
        <v>743</v>
      </c>
      <c r="T90" s="3" t="s">
        <v>744</v>
      </c>
      <c r="U90" s="7">
        <v>5</v>
      </c>
      <c r="V90" s="9" t="s">
        <v>745</v>
      </c>
      <c r="W90" s="9" t="s">
        <v>746</v>
      </c>
      <c r="X90" s="7" t="s">
        <v>40</v>
      </c>
      <c r="Y90" s="9" t="s">
        <v>13</v>
      </c>
    </row>
    <row r="91" spans="1:25" ht="25" x14ac:dyDescent="0.35">
      <c r="A91" s="2" t="s">
        <v>747</v>
      </c>
      <c r="B91" s="3" t="s">
        <v>748</v>
      </c>
      <c r="C91" s="11" t="s">
        <v>114</v>
      </c>
      <c r="D91" s="5">
        <v>580</v>
      </c>
      <c r="E91" s="5">
        <f>Business_Info!$B$3</f>
        <v>20</v>
      </c>
      <c r="F91" s="6">
        <f t="shared" si="4"/>
        <v>560</v>
      </c>
      <c r="G91" s="7">
        <v>24</v>
      </c>
      <c r="H91" s="5">
        <f t="shared" si="5"/>
        <v>13920</v>
      </c>
      <c r="I91" s="7">
        <v>1</v>
      </c>
      <c r="J91" s="3" t="s">
        <v>749</v>
      </c>
      <c r="K91" s="3" t="s">
        <v>750</v>
      </c>
      <c r="L91" s="3" t="s">
        <v>751</v>
      </c>
      <c r="M91" s="3" t="s">
        <v>752</v>
      </c>
      <c r="N91" s="7" t="s">
        <v>116</v>
      </c>
      <c r="O91" s="3" t="s">
        <v>232</v>
      </c>
      <c r="P91" s="7">
        <v>29</v>
      </c>
      <c r="Q91" s="10" t="s">
        <v>49</v>
      </c>
      <c r="R91" s="3" t="s">
        <v>50</v>
      </c>
      <c r="S91" s="3" t="s">
        <v>753</v>
      </c>
      <c r="T91" s="3" t="s">
        <v>754</v>
      </c>
      <c r="U91" s="7">
        <v>5</v>
      </c>
      <c r="V91" s="9" t="s">
        <v>755</v>
      </c>
      <c r="W91" s="9" t="s">
        <v>756</v>
      </c>
      <c r="X91" s="7" t="s">
        <v>40</v>
      </c>
      <c r="Y91" s="9" t="s">
        <v>316</v>
      </c>
    </row>
    <row r="92" spans="1:25" ht="25" x14ac:dyDescent="0.35">
      <c r="A92" s="2" t="s">
        <v>757</v>
      </c>
      <c r="B92" s="3" t="s">
        <v>758</v>
      </c>
      <c r="C92" s="4" t="s">
        <v>27</v>
      </c>
      <c r="D92" s="5">
        <v>750</v>
      </c>
      <c r="E92" s="5">
        <f>Business_Info!$B$3</f>
        <v>20</v>
      </c>
      <c r="F92" s="6">
        <f t="shared" si="4"/>
        <v>730</v>
      </c>
      <c r="G92" s="7">
        <v>30</v>
      </c>
      <c r="H92" s="5">
        <f t="shared" si="5"/>
        <v>22500</v>
      </c>
      <c r="I92" s="7">
        <v>1</v>
      </c>
      <c r="J92" s="3" t="s">
        <v>611</v>
      </c>
      <c r="K92" s="3" t="s">
        <v>154</v>
      </c>
      <c r="L92" s="3" t="s">
        <v>166</v>
      </c>
      <c r="M92" s="3" t="s">
        <v>759</v>
      </c>
      <c r="N92" s="7" t="s">
        <v>32</v>
      </c>
      <c r="O92" s="3" t="s">
        <v>33</v>
      </c>
      <c r="P92" s="7">
        <v>1</v>
      </c>
      <c r="Q92" s="11" t="s">
        <v>190</v>
      </c>
      <c r="R92" s="3" t="s">
        <v>50</v>
      </c>
      <c r="S92" s="3" t="s">
        <v>760</v>
      </c>
      <c r="T92" s="3" t="s">
        <v>761</v>
      </c>
      <c r="U92" s="7">
        <v>5</v>
      </c>
      <c r="V92" s="9" t="s">
        <v>762</v>
      </c>
      <c r="W92" s="9" t="s">
        <v>763</v>
      </c>
      <c r="X92" s="7" t="s">
        <v>40</v>
      </c>
      <c r="Y92" s="9" t="s">
        <v>18</v>
      </c>
    </row>
    <row r="93" spans="1:25" ht="25" x14ac:dyDescent="0.35">
      <c r="A93" s="2" t="s">
        <v>764</v>
      </c>
      <c r="B93" s="3" t="s">
        <v>765</v>
      </c>
      <c r="C93" s="4" t="s">
        <v>27</v>
      </c>
      <c r="D93" s="5">
        <v>700</v>
      </c>
      <c r="E93" s="5">
        <f>Business_Info!$B$3</f>
        <v>20</v>
      </c>
      <c r="F93" s="6">
        <f t="shared" si="4"/>
        <v>680</v>
      </c>
      <c r="G93" s="7">
        <v>24</v>
      </c>
      <c r="H93" s="5">
        <f t="shared" si="5"/>
        <v>16800</v>
      </c>
      <c r="I93" s="7">
        <v>1</v>
      </c>
      <c r="J93" s="3" t="s">
        <v>57</v>
      </c>
      <c r="K93" s="3" t="s">
        <v>766</v>
      </c>
      <c r="L93" s="3" t="s">
        <v>767</v>
      </c>
      <c r="M93" s="3" t="s">
        <v>768</v>
      </c>
      <c r="N93" s="7" t="s">
        <v>47</v>
      </c>
      <c r="O93" s="3" t="s">
        <v>769</v>
      </c>
      <c r="P93" s="7">
        <v>21</v>
      </c>
      <c r="Q93" s="10" t="s">
        <v>49</v>
      </c>
      <c r="R93" s="3" t="s">
        <v>50</v>
      </c>
      <c r="S93" s="3" t="s">
        <v>770</v>
      </c>
      <c r="T93" s="3" t="s">
        <v>771</v>
      </c>
      <c r="U93" s="7">
        <v>5</v>
      </c>
      <c r="V93" s="9" t="s">
        <v>772</v>
      </c>
      <c r="W93" s="9" t="s">
        <v>773</v>
      </c>
      <c r="X93" s="7" t="s">
        <v>40</v>
      </c>
      <c r="Y93" s="9"/>
    </row>
    <row r="94" spans="1:25" ht="25" x14ac:dyDescent="0.35">
      <c r="A94" s="2" t="s">
        <v>774</v>
      </c>
      <c r="B94" s="3" t="s">
        <v>775</v>
      </c>
      <c r="C94" s="4" t="s">
        <v>27</v>
      </c>
      <c r="D94" s="5">
        <v>730</v>
      </c>
      <c r="E94" s="5">
        <f>Business_Info!$B$3</f>
        <v>20</v>
      </c>
      <c r="F94" s="6">
        <f t="shared" si="4"/>
        <v>710</v>
      </c>
      <c r="G94" s="7">
        <v>30</v>
      </c>
      <c r="H94" s="5">
        <f t="shared" si="5"/>
        <v>21900</v>
      </c>
      <c r="I94" s="7">
        <v>1</v>
      </c>
      <c r="J94" s="3" t="s">
        <v>776</v>
      </c>
      <c r="K94" s="3" t="s">
        <v>68</v>
      </c>
      <c r="L94" s="3" t="s">
        <v>338</v>
      </c>
      <c r="M94" s="3" t="s">
        <v>777</v>
      </c>
      <c r="N94" s="7" t="s">
        <v>47</v>
      </c>
      <c r="O94" s="3" t="s">
        <v>48</v>
      </c>
      <c r="P94" s="7">
        <v>0</v>
      </c>
      <c r="Q94" s="8" t="s">
        <v>34</v>
      </c>
      <c r="R94" s="3" t="s">
        <v>35</v>
      </c>
      <c r="S94" s="3" t="s">
        <v>778</v>
      </c>
      <c r="T94" s="3" t="s">
        <v>779</v>
      </c>
      <c r="U94" s="7">
        <v>5</v>
      </c>
      <c r="V94" s="9" t="s">
        <v>780</v>
      </c>
      <c r="W94" s="9" t="s">
        <v>781</v>
      </c>
      <c r="X94" s="7" t="s">
        <v>40</v>
      </c>
      <c r="Y94" s="9" t="s">
        <v>12</v>
      </c>
    </row>
    <row r="95" spans="1:25" ht="25" x14ac:dyDescent="0.35">
      <c r="A95" s="2" t="s">
        <v>782</v>
      </c>
      <c r="B95" s="3" t="s">
        <v>783</v>
      </c>
      <c r="C95" s="8" t="s">
        <v>66</v>
      </c>
      <c r="D95" s="5">
        <v>780</v>
      </c>
      <c r="E95" s="5">
        <f>Business_Info!$B$3</f>
        <v>20</v>
      </c>
      <c r="F95" s="6">
        <f t="shared" si="4"/>
        <v>760</v>
      </c>
      <c r="G95" s="7">
        <v>24</v>
      </c>
      <c r="H95" s="5">
        <f t="shared" si="5"/>
        <v>18720</v>
      </c>
      <c r="I95" s="7">
        <v>1</v>
      </c>
      <c r="J95" s="3" t="s">
        <v>229</v>
      </c>
      <c r="K95" s="3" t="s">
        <v>784</v>
      </c>
      <c r="L95" s="3" t="s">
        <v>362</v>
      </c>
      <c r="M95" s="3" t="s">
        <v>785</v>
      </c>
      <c r="N95" s="7" t="s">
        <v>80</v>
      </c>
      <c r="O95" s="3" t="s">
        <v>363</v>
      </c>
      <c r="P95" s="7">
        <v>21</v>
      </c>
      <c r="Q95" s="10" t="s">
        <v>49</v>
      </c>
      <c r="R95" s="3" t="s">
        <v>50</v>
      </c>
      <c r="S95" s="3" t="s">
        <v>786</v>
      </c>
      <c r="T95" s="3" t="s">
        <v>787</v>
      </c>
      <c r="U95" s="7">
        <v>5</v>
      </c>
      <c r="V95" s="9" t="s">
        <v>788</v>
      </c>
      <c r="W95" s="9" t="s">
        <v>789</v>
      </c>
      <c r="X95" s="7" t="s">
        <v>40</v>
      </c>
      <c r="Y95" s="9"/>
    </row>
    <row r="96" spans="1:25" ht="25" x14ac:dyDescent="0.35">
      <c r="A96" s="2" t="s">
        <v>790</v>
      </c>
      <c r="B96" s="3" t="s">
        <v>791</v>
      </c>
      <c r="C96" s="8" t="s">
        <v>66</v>
      </c>
      <c r="D96" s="5">
        <v>740</v>
      </c>
      <c r="E96" s="5">
        <f>Business_Info!$B$3</f>
        <v>20</v>
      </c>
      <c r="F96" s="6">
        <f t="shared" si="4"/>
        <v>720</v>
      </c>
      <c r="G96" s="7">
        <v>20</v>
      </c>
      <c r="H96" s="5">
        <f t="shared" si="5"/>
        <v>14800</v>
      </c>
      <c r="I96" s="7">
        <v>1</v>
      </c>
      <c r="J96" s="3" t="s">
        <v>78</v>
      </c>
      <c r="K96" s="3" t="s">
        <v>792</v>
      </c>
      <c r="L96" s="3" t="s">
        <v>187</v>
      </c>
      <c r="M96" s="3" t="s">
        <v>793</v>
      </c>
      <c r="N96" s="7" t="s">
        <v>80</v>
      </c>
      <c r="O96" s="3" t="s">
        <v>285</v>
      </c>
      <c r="P96" s="7">
        <v>16</v>
      </c>
      <c r="Q96" s="10" t="s">
        <v>49</v>
      </c>
      <c r="R96" s="3" t="s">
        <v>50</v>
      </c>
      <c r="S96" s="3" t="s">
        <v>794</v>
      </c>
      <c r="T96" s="3" t="s">
        <v>795</v>
      </c>
      <c r="U96" s="7">
        <v>5</v>
      </c>
      <c r="V96" s="9" t="s">
        <v>796</v>
      </c>
      <c r="W96" s="9" t="s">
        <v>797</v>
      </c>
      <c r="X96" s="7" t="s">
        <v>40</v>
      </c>
      <c r="Y96" s="9"/>
    </row>
    <row r="97" spans="1:25" ht="25" x14ac:dyDescent="0.35">
      <c r="A97" s="2" t="s">
        <v>798</v>
      </c>
      <c r="B97" s="3" t="s">
        <v>87</v>
      </c>
      <c r="C97" s="8" t="s">
        <v>66</v>
      </c>
      <c r="D97" s="5">
        <v>720</v>
      </c>
      <c r="E97" s="5">
        <f>Business_Info!$B$3</f>
        <v>20</v>
      </c>
      <c r="F97" s="6">
        <f t="shared" si="4"/>
        <v>700</v>
      </c>
      <c r="G97" s="7">
        <v>24</v>
      </c>
      <c r="H97" s="5">
        <f t="shared" si="5"/>
        <v>17280</v>
      </c>
      <c r="I97" s="7">
        <v>1</v>
      </c>
      <c r="J97" s="3" t="s">
        <v>88</v>
      </c>
      <c r="K97" s="3" t="s">
        <v>89</v>
      </c>
      <c r="L97" s="3" t="s">
        <v>166</v>
      </c>
      <c r="M97" s="3" t="s">
        <v>799</v>
      </c>
      <c r="N97" s="7" t="s">
        <v>80</v>
      </c>
      <c r="O97" s="3" t="s">
        <v>363</v>
      </c>
      <c r="P97" s="7">
        <v>26</v>
      </c>
      <c r="Q97" s="10" t="s">
        <v>49</v>
      </c>
      <c r="R97" s="3" t="s">
        <v>50</v>
      </c>
      <c r="S97" s="3" t="s">
        <v>800</v>
      </c>
      <c r="T97" s="3" t="s">
        <v>801</v>
      </c>
      <c r="U97" s="7">
        <v>5</v>
      </c>
      <c r="V97" s="9" t="s">
        <v>802</v>
      </c>
      <c r="W97" s="9" t="s">
        <v>803</v>
      </c>
      <c r="X97" s="7" t="s">
        <v>40</v>
      </c>
      <c r="Y97" s="9" t="s">
        <v>18</v>
      </c>
    </row>
    <row r="98" spans="1:25" ht="25" x14ac:dyDescent="0.35">
      <c r="A98" s="2" t="s">
        <v>804</v>
      </c>
      <c r="B98" s="3" t="s">
        <v>805</v>
      </c>
      <c r="C98" s="10" t="s">
        <v>97</v>
      </c>
      <c r="D98" s="5">
        <v>560</v>
      </c>
      <c r="E98" s="5">
        <f>Business_Info!$B$3</f>
        <v>20</v>
      </c>
      <c r="F98" s="6">
        <f t="shared" ref="F98:F129" si="6">D98-E98</f>
        <v>540</v>
      </c>
      <c r="G98" s="7">
        <v>30</v>
      </c>
      <c r="H98" s="5">
        <f t="shared" ref="H98:H129" si="7">D98*G98</f>
        <v>16800</v>
      </c>
      <c r="I98" s="7">
        <v>1</v>
      </c>
      <c r="J98" s="3" t="s">
        <v>153</v>
      </c>
      <c r="K98" s="3" t="s">
        <v>58</v>
      </c>
      <c r="L98" s="3" t="s">
        <v>208</v>
      </c>
      <c r="M98" s="3" t="s">
        <v>806</v>
      </c>
      <c r="N98" s="7" t="s">
        <v>807</v>
      </c>
      <c r="O98" s="3" t="s">
        <v>808</v>
      </c>
      <c r="P98" s="7">
        <v>22</v>
      </c>
      <c r="Q98" s="10" t="s">
        <v>49</v>
      </c>
      <c r="R98" s="3" t="s">
        <v>50</v>
      </c>
      <c r="S98" s="3" t="s">
        <v>809</v>
      </c>
      <c r="T98" s="3" t="s">
        <v>810</v>
      </c>
      <c r="U98" s="7">
        <v>5</v>
      </c>
      <c r="V98" s="9" t="s">
        <v>811</v>
      </c>
      <c r="W98" s="9" t="s">
        <v>812</v>
      </c>
      <c r="X98" s="7" t="s">
        <v>40</v>
      </c>
      <c r="Y98" s="9" t="s">
        <v>18</v>
      </c>
    </row>
    <row r="99" spans="1:25" ht="25" x14ac:dyDescent="0.35">
      <c r="A99" s="2" t="s">
        <v>813</v>
      </c>
      <c r="B99" s="3" t="s">
        <v>106</v>
      </c>
      <c r="C99" s="10" t="s">
        <v>97</v>
      </c>
      <c r="D99" s="5">
        <v>540</v>
      </c>
      <c r="E99" s="5">
        <f>Business_Info!$B$3</f>
        <v>20</v>
      </c>
      <c r="F99" s="6">
        <f t="shared" si="6"/>
        <v>520</v>
      </c>
      <c r="G99" s="7">
        <v>28</v>
      </c>
      <c r="H99" s="5">
        <f t="shared" si="7"/>
        <v>15120</v>
      </c>
      <c r="I99" s="7">
        <v>1</v>
      </c>
      <c r="J99" s="3" t="s">
        <v>43</v>
      </c>
      <c r="K99" s="3" t="s">
        <v>68</v>
      </c>
      <c r="L99" s="3" t="s">
        <v>219</v>
      </c>
      <c r="M99" s="3" t="s">
        <v>814</v>
      </c>
      <c r="N99" s="7" t="s">
        <v>807</v>
      </c>
      <c r="O99" s="3" t="s">
        <v>815</v>
      </c>
      <c r="P99" s="7">
        <v>26</v>
      </c>
      <c r="Q99" s="10" t="s">
        <v>49</v>
      </c>
      <c r="R99" s="3" t="s">
        <v>50</v>
      </c>
      <c r="S99" s="3" t="s">
        <v>816</v>
      </c>
      <c r="T99" s="3" t="s">
        <v>817</v>
      </c>
      <c r="U99" s="7">
        <v>5</v>
      </c>
      <c r="V99" s="9" t="s">
        <v>818</v>
      </c>
      <c r="W99" s="9" t="s">
        <v>819</v>
      </c>
      <c r="X99" s="7" t="s">
        <v>40</v>
      </c>
      <c r="Y99" s="9" t="s">
        <v>18</v>
      </c>
    </row>
    <row r="100" spans="1:25" ht="25" x14ac:dyDescent="0.35">
      <c r="A100" s="2" t="s">
        <v>820</v>
      </c>
      <c r="B100" s="3" t="s">
        <v>821</v>
      </c>
      <c r="C100" s="11" t="s">
        <v>114</v>
      </c>
      <c r="D100" s="5">
        <v>550</v>
      </c>
      <c r="E100" s="5">
        <f>Business_Info!$B$3</f>
        <v>20</v>
      </c>
      <c r="F100" s="6">
        <f t="shared" si="6"/>
        <v>530</v>
      </c>
      <c r="G100" s="7">
        <v>30</v>
      </c>
      <c r="H100" s="5">
        <f t="shared" si="7"/>
        <v>16500</v>
      </c>
      <c r="I100" s="7">
        <v>1</v>
      </c>
      <c r="J100" s="3" t="s">
        <v>229</v>
      </c>
      <c r="K100" s="3" t="s">
        <v>68</v>
      </c>
      <c r="L100" s="3" t="s">
        <v>362</v>
      </c>
      <c r="M100" s="3" t="s">
        <v>822</v>
      </c>
      <c r="N100" s="7" t="s">
        <v>807</v>
      </c>
      <c r="O100" s="3" t="s">
        <v>808</v>
      </c>
      <c r="P100" s="7">
        <v>37</v>
      </c>
      <c r="Q100" s="10" t="s">
        <v>49</v>
      </c>
      <c r="R100" s="3" t="s">
        <v>50</v>
      </c>
      <c r="S100" s="3" t="s">
        <v>823</v>
      </c>
      <c r="T100" s="3" t="s">
        <v>824</v>
      </c>
      <c r="U100" s="7">
        <v>5</v>
      </c>
      <c r="V100" s="9" t="s">
        <v>825</v>
      </c>
      <c r="W100" s="9" t="s">
        <v>826</v>
      </c>
      <c r="X100" s="7" t="s">
        <v>40</v>
      </c>
      <c r="Y100" s="9" t="s">
        <v>18</v>
      </c>
    </row>
    <row r="101" spans="1:25" ht="25" x14ac:dyDescent="0.35">
      <c r="A101" s="2" t="s">
        <v>827</v>
      </c>
      <c r="B101" s="3" t="s">
        <v>828</v>
      </c>
      <c r="C101" s="11" t="s">
        <v>114</v>
      </c>
      <c r="D101" s="5">
        <v>580</v>
      </c>
      <c r="E101" s="5">
        <f>Business_Info!$B$3</f>
        <v>20</v>
      </c>
      <c r="F101" s="6">
        <f t="shared" si="6"/>
        <v>560</v>
      </c>
      <c r="G101" s="7">
        <v>24</v>
      </c>
      <c r="H101" s="5">
        <f t="shared" si="7"/>
        <v>13920</v>
      </c>
      <c r="I101" s="7">
        <v>1</v>
      </c>
      <c r="J101" s="3" t="s">
        <v>829</v>
      </c>
      <c r="K101" s="3" t="s">
        <v>58</v>
      </c>
      <c r="L101" s="3" t="s">
        <v>219</v>
      </c>
      <c r="M101" s="3" t="s">
        <v>830</v>
      </c>
      <c r="N101" s="7" t="s">
        <v>807</v>
      </c>
      <c r="O101" s="3" t="s">
        <v>831</v>
      </c>
      <c r="P101" s="7">
        <v>27</v>
      </c>
      <c r="Q101" s="10" t="s">
        <v>49</v>
      </c>
      <c r="R101" s="3" t="s">
        <v>50</v>
      </c>
      <c r="S101" s="3" t="s">
        <v>832</v>
      </c>
      <c r="T101" s="3" t="s">
        <v>833</v>
      </c>
      <c r="U101" s="7">
        <v>5</v>
      </c>
      <c r="V101" s="9" t="s">
        <v>834</v>
      </c>
      <c r="W101" s="9" t="s">
        <v>835</v>
      </c>
      <c r="X101" s="7" t="s">
        <v>40</v>
      </c>
      <c r="Y101" s="9" t="s">
        <v>18</v>
      </c>
    </row>
    <row r="102" spans="1:25" ht="25" x14ac:dyDescent="0.35">
      <c r="A102" s="2" t="s">
        <v>836</v>
      </c>
      <c r="B102" s="3" t="s">
        <v>837</v>
      </c>
      <c r="C102" s="4" t="s">
        <v>27</v>
      </c>
      <c r="D102" s="5">
        <v>760</v>
      </c>
      <c r="E102" s="5">
        <f>Business_Info!$B$3</f>
        <v>20</v>
      </c>
      <c r="F102" s="6">
        <f t="shared" si="6"/>
        <v>740</v>
      </c>
      <c r="G102" s="7">
        <v>24</v>
      </c>
      <c r="H102" s="5">
        <f t="shared" si="7"/>
        <v>18240</v>
      </c>
      <c r="I102" s="7">
        <v>1</v>
      </c>
      <c r="J102" s="3" t="s">
        <v>28</v>
      </c>
      <c r="K102" s="3" t="s">
        <v>838</v>
      </c>
      <c r="L102" s="3" t="s">
        <v>449</v>
      </c>
      <c r="M102" s="3" t="s">
        <v>839</v>
      </c>
      <c r="N102" s="7" t="s">
        <v>32</v>
      </c>
      <c r="O102" s="3" t="s">
        <v>135</v>
      </c>
      <c r="P102" s="7">
        <v>0</v>
      </c>
      <c r="Q102" s="8" t="s">
        <v>34</v>
      </c>
      <c r="R102" s="3" t="s">
        <v>35</v>
      </c>
      <c r="S102" s="3" t="s">
        <v>840</v>
      </c>
      <c r="T102" s="3" t="s">
        <v>841</v>
      </c>
      <c r="U102" s="7">
        <v>6</v>
      </c>
      <c r="V102" s="9" t="s">
        <v>842</v>
      </c>
      <c r="W102" s="9" t="s">
        <v>843</v>
      </c>
      <c r="X102" s="7" t="s">
        <v>40</v>
      </c>
      <c r="Y102" s="9"/>
    </row>
    <row r="103" spans="1:25" ht="25" x14ac:dyDescent="0.35">
      <c r="A103" s="2" t="s">
        <v>844</v>
      </c>
      <c r="B103" s="3" t="s">
        <v>845</v>
      </c>
      <c r="C103" s="4" t="s">
        <v>27</v>
      </c>
      <c r="D103" s="5">
        <v>700</v>
      </c>
      <c r="E103" s="5">
        <f>Business_Info!$B$3</f>
        <v>20</v>
      </c>
      <c r="F103" s="6">
        <f t="shared" si="6"/>
        <v>680</v>
      </c>
      <c r="G103" s="7">
        <v>20</v>
      </c>
      <c r="H103" s="5">
        <f t="shared" si="7"/>
        <v>14000</v>
      </c>
      <c r="I103" s="7">
        <v>1</v>
      </c>
      <c r="J103" s="3" t="s">
        <v>57</v>
      </c>
      <c r="K103" s="3" t="s">
        <v>44</v>
      </c>
      <c r="L103" s="3" t="s">
        <v>767</v>
      </c>
      <c r="M103" s="3" t="s">
        <v>846</v>
      </c>
      <c r="N103" s="7" t="s">
        <v>47</v>
      </c>
      <c r="O103" s="3" t="s">
        <v>146</v>
      </c>
      <c r="P103" s="7">
        <v>23</v>
      </c>
      <c r="Q103" s="10" t="s">
        <v>49</v>
      </c>
      <c r="R103" s="3" t="s">
        <v>50</v>
      </c>
      <c r="S103" s="3" t="s">
        <v>847</v>
      </c>
      <c r="T103" s="3" t="s">
        <v>848</v>
      </c>
      <c r="U103" s="7">
        <v>6</v>
      </c>
      <c r="V103" s="9" t="s">
        <v>849</v>
      </c>
      <c r="W103" s="9" t="s">
        <v>850</v>
      </c>
      <c r="X103" s="7" t="s">
        <v>40</v>
      </c>
      <c r="Y103" s="9"/>
    </row>
    <row r="104" spans="1:25" ht="25" x14ac:dyDescent="0.35">
      <c r="A104" s="2" t="s">
        <v>851</v>
      </c>
      <c r="B104" s="3" t="s">
        <v>852</v>
      </c>
      <c r="C104" s="4" t="s">
        <v>27</v>
      </c>
      <c r="D104" s="5">
        <v>780</v>
      </c>
      <c r="E104" s="5">
        <f>Business_Info!$B$3</f>
        <v>20</v>
      </c>
      <c r="F104" s="6">
        <f t="shared" si="6"/>
        <v>760</v>
      </c>
      <c r="G104" s="7">
        <v>18</v>
      </c>
      <c r="H104" s="5">
        <f t="shared" si="7"/>
        <v>14040</v>
      </c>
      <c r="I104" s="7">
        <v>1</v>
      </c>
      <c r="J104" s="3" t="s">
        <v>153</v>
      </c>
      <c r="K104" s="3" t="s">
        <v>89</v>
      </c>
      <c r="L104" s="3" t="s">
        <v>338</v>
      </c>
      <c r="M104" s="3" t="s">
        <v>853</v>
      </c>
      <c r="N104" s="7" t="s">
        <v>47</v>
      </c>
      <c r="O104" s="3" t="s">
        <v>157</v>
      </c>
      <c r="P104" s="7">
        <v>29</v>
      </c>
      <c r="Q104" s="10" t="s">
        <v>49</v>
      </c>
      <c r="R104" s="3" t="s">
        <v>50</v>
      </c>
      <c r="S104" s="3" t="s">
        <v>854</v>
      </c>
      <c r="T104" s="3" t="s">
        <v>855</v>
      </c>
      <c r="U104" s="7">
        <v>6</v>
      </c>
      <c r="V104" s="9" t="s">
        <v>856</v>
      </c>
      <c r="W104" s="9" t="s">
        <v>857</v>
      </c>
      <c r="X104" s="7" t="s">
        <v>40</v>
      </c>
      <c r="Y104" s="9"/>
    </row>
    <row r="105" spans="1:25" ht="25" x14ac:dyDescent="0.35">
      <c r="A105" s="2" t="s">
        <v>858</v>
      </c>
      <c r="B105" s="3" t="s">
        <v>859</v>
      </c>
      <c r="C105" s="8" t="s">
        <v>66</v>
      </c>
      <c r="D105" s="5">
        <v>770</v>
      </c>
      <c r="E105" s="5">
        <f>Business_Info!$B$3</f>
        <v>20</v>
      </c>
      <c r="F105" s="6">
        <f t="shared" si="6"/>
        <v>750</v>
      </c>
      <c r="G105" s="7">
        <v>24</v>
      </c>
      <c r="H105" s="5">
        <f t="shared" si="7"/>
        <v>18480</v>
      </c>
      <c r="I105" s="7">
        <v>1</v>
      </c>
      <c r="J105" s="3" t="s">
        <v>229</v>
      </c>
      <c r="K105" s="3" t="s">
        <v>68</v>
      </c>
      <c r="L105" s="3" t="s">
        <v>362</v>
      </c>
      <c r="M105" s="3" t="s">
        <v>860</v>
      </c>
      <c r="N105" s="7" t="s">
        <v>80</v>
      </c>
      <c r="O105" s="3" t="s">
        <v>363</v>
      </c>
      <c r="P105" s="7">
        <v>28</v>
      </c>
      <c r="Q105" s="10" t="s">
        <v>49</v>
      </c>
      <c r="R105" s="3" t="s">
        <v>50</v>
      </c>
      <c r="S105" s="3" t="s">
        <v>861</v>
      </c>
      <c r="T105" s="3" t="s">
        <v>862</v>
      </c>
      <c r="U105" s="7">
        <v>6</v>
      </c>
      <c r="V105" s="9" t="s">
        <v>863</v>
      </c>
      <c r="W105" s="9" t="s">
        <v>864</v>
      </c>
      <c r="X105" s="7" t="s">
        <v>40</v>
      </c>
      <c r="Y105" s="9"/>
    </row>
    <row r="106" spans="1:25" ht="25" x14ac:dyDescent="0.35">
      <c r="A106" s="2" t="s">
        <v>865</v>
      </c>
      <c r="B106" s="3" t="s">
        <v>866</v>
      </c>
      <c r="C106" s="8" t="s">
        <v>66</v>
      </c>
      <c r="D106" s="5">
        <v>740</v>
      </c>
      <c r="E106" s="5">
        <f>Business_Info!$B$3</f>
        <v>20</v>
      </c>
      <c r="F106" s="6">
        <f t="shared" si="6"/>
        <v>720</v>
      </c>
      <c r="G106" s="7">
        <v>20</v>
      </c>
      <c r="H106" s="5">
        <f t="shared" si="7"/>
        <v>14800</v>
      </c>
      <c r="I106" s="7">
        <v>1</v>
      </c>
      <c r="J106" s="3" t="s">
        <v>829</v>
      </c>
      <c r="K106" s="3" t="s">
        <v>792</v>
      </c>
      <c r="L106" s="3" t="s">
        <v>263</v>
      </c>
      <c r="M106" s="3" t="s">
        <v>867</v>
      </c>
      <c r="N106" s="7" t="s">
        <v>80</v>
      </c>
      <c r="O106" s="3" t="s">
        <v>285</v>
      </c>
      <c r="P106" s="7">
        <v>9</v>
      </c>
      <c r="Q106" s="10" t="s">
        <v>49</v>
      </c>
      <c r="R106" s="3" t="s">
        <v>50</v>
      </c>
      <c r="S106" s="3" t="s">
        <v>868</v>
      </c>
      <c r="T106" s="3" t="s">
        <v>869</v>
      </c>
      <c r="U106" s="7">
        <v>6</v>
      </c>
      <c r="V106" s="9" t="s">
        <v>870</v>
      </c>
      <c r="W106" s="9" t="s">
        <v>871</v>
      </c>
      <c r="X106" s="7" t="s">
        <v>40</v>
      </c>
      <c r="Y106" s="9"/>
    </row>
    <row r="107" spans="1:25" ht="25" x14ac:dyDescent="0.35">
      <c r="A107" s="2" t="s">
        <v>872</v>
      </c>
      <c r="B107" s="3" t="s">
        <v>873</v>
      </c>
      <c r="C107" s="8" t="s">
        <v>66</v>
      </c>
      <c r="D107" s="5">
        <v>730</v>
      </c>
      <c r="E107" s="5">
        <f>Business_Info!$B$3</f>
        <v>20</v>
      </c>
      <c r="F107" s="6">
        <f t="shared" si="6"/>
        <v>710</v>
      </c>
      <c r="G107" s="7">
        <v>22</v>
      </c>
      <c r="H107" s="5">
        <f t="shared" si="7"/>
        <v>16060</v>
      </c>
      <c r="I107" s="7">
        <v>1</v>
      </c>
      <c r="J107" s="3" t="s">
        <v>829</v>
      </c>
      <c r="K107" s="3" t="s">
        <v>89</v>
      </c>
      <c r="L107" s="3" t="s">
        <v>166</v>
      </c>
      <c r="M107" s="3" t="s">
        <v>874</v>
      </c>
      <c r="N107" s="7" t="s">
        <v>80</v>
      </c>
      <c r="O107" s="3" t="s">
        <v>178</v>
      </c>
      <c r="P107" s="7">
        <v>13</v>
      </c>
      <c r="Q107" s="10" t="s">
        <v>49</v>
      </c>
      <c r="R107" s="3" t="s">
        <v>50</v>
      </c>
      <c r="S107" s="3" t="s">
        <v>875</v>
      </c>
      <c r="T107" s="3" t="s">
        <v>876</v>
      </c>
      <c r="U107" s="7">
        <v>6</v>
      </c>
      <c r="V107" s="9" t="s">
        <v>877</v>
      </c>
      <c r="W107" s="9" t="s">
        <v>878</v>
      </c>
      <c r="X107" s="7" t="s">
        <v>40</v>
      </c>
      <c r="Y107" s="9"/>
    </row>
    <row r="108" spans="1:25" ht="25" x14ac:dyDescent="0.35">
      <c r="A108" s="2" t="s">
        <v>879</v>
      </c>
      <c r="B108" s="3" t="s">
        <v>96</v>
      </c>
      <c r="C108" s="10" t="s">
        <v>97</v>
      </c>
      <c r="D108" s="5">
        <v>560</v>
      </c>
      <c r="E108" s="5">
        <f>Business_Info!$B$3</f>
        <v>20</v>
      </c>
      <c r="F108" s="6">
        <f t="shared" si="6"/>
        <v>540</v>
      </c>
      <c r="G108" s="7">
        <v>30</v>
      </c>
      <c r="H108" s="5">
        <f t="shared" si="7"/>
        <v>16800</v>
      </c>
      <c r="I108" s="7">
        <v>1</v>
      </c>
      <c r="J108" s="3" t="s">
        <v>43</v>
      </c>
      <c r="K108" s="3" t="s">
        <v>58</v>
      </c>
      <c r="L108" s="3" t="s">
        <v>219</v>
      </c>
      <c r="M108" s="3" t="s">
        <v>880</v>
      </c>
      <c r="N108" s="7" t="s">
        <v>807</v>
      </c>
      <c r="O108" s="3" t="s">
        <v>808</v>
      </c>
      <c r="P108" s="7">
        <v>0</v>
      </c>
      <c r="Q108" s="8" t="s">
        <v>34</v>
      </c>
      <c r="R108" s="3" t="s">
        <v>35</v>
      </c>
      <c r="S108" s="3" t="s">
        <v>881</v>
      </c>
      <c r="T108" s="3" t="s">
        <v>882</v>
      </c>
      <c r="U108" s="7">
        <v>6</v>
      </c>
      <c r="V108" s="9" t="s">
        <v>883</v>
      </c>
      <c r="W108" s="9" t="s">
        <v>884</v>
      </c>
      <c r="X108" s="7" t="s">
        <v>40</v>
      </c>
      <c r="Y108" s="9"/>
    </row>
    <row r="109" spans="1:25" ht="25" x14ac:dyDescent="0.35">
      <c r="A109" s="2" t="s">
        <v>885</v>
      </c>
      <c r="B109" s="3" t="s">
        <v>886</v>
      </c>
      <c r="C109" s="10" t="s">
        <v>97</v>
      </c>
      <c r="D109" s="5">
        <v>580</v>
      </c>
      <c r="E109" s="5">
        <f>Business_Info!$B$3</f>
        <v>20</v>
      </c>
      <c r="F109" s="6">
        <f t="shared" si="6"/>
        <v>560</v>
      </c>
      <c r="G109" s="7">
        <v>28</v>
      </c>
      <c r="H109" s="5">
        <f t="shared" si="7"/>
        <v>16240</v>
      </c>
      <c r="I109" s="7">
        <v>1</v>
      </c>
      <c r="J109" s="3" t="s">
        <v>887</v>
      </c>
      <c r="K109" s="3" t="s">
        <v>68</v>
      </c>
      <c r="L109" s="3" t="s">
        <v>219</v>
      </c>
      <c r="M109" s="3" t="s">
        <v>888</v>
      </c>
      <c r="N109" s="7" t="s">
        <v>807</v>
      </c>
      <c r="O109" s="3" t="s">
        <v>815</v>
      </c>
      <c r="P109" s="7">
        <v>5</v>
      </c>
      <c r="Q109" s="10" t="s">
        <v>49</v>
      </c>
      <c r="R109" s="3" t="s">
        <v>50</v>
      </c>
      <c r="S109" s="3" t="s">
        <v>889</v>
      </c>
      <c r="T109" s="3" t="s">
        <v>890</v>
      </c>
      <c r="U109" s="7">
        <v>6</v>
      </c>
      <c r="V109" s="9" t="s">
        <v>891</v>
      </c>
      <c r="W109" s="9" t="s">
        <v>892</v>
      </c>
      <c r="X109" s="7" t="s">
        <v>40</v>
      </c>
      <c r="Y109" s="9"/>
    </row>
    <row r="110" spans="1:25" ht="25" x14ac:dyDescent="0.35">
      <c r="A110" s="2" t="s">
        <v>893</v>
      </c>
      <c r="B110" s="3" t="s">
        <v>821</v>
      </c>
      <c r="C110" s="11" t="s">
        <v>114</v>
      </c>
      <c r="D110" s="5">
        <v>590</v>
      </c>
      <c r="E110" s="5">
        <f>Business_Info!$B$3</f>
        <v>20</v>
      </c>
      <c r="F110" s="6">
        <f t="shared" si="6"/>
        <v>570</v>
      </c>
      <c r="G110" s="7">
        <v>30</v>
      </c>
      <c r="H110" s="5">
        <f t="shared" si="7"/>
        <v>17700</v>
      </c>
      <c r="I110" s="7">
        <v>1</v>
      </c>
      <c r="J110" s="3" t="s">
        <v>229</v>
      </c>
      <c r="K110" s="3" t="s">
        <v>68</v>
      </c>
      <c r="L110" s="3" t="s">
        <v>219</v>
      </c>
      <c r="M110" s="3" t="s">
        <v>894</v>
      </c>
      <c r="N110" s="7" t="s">
        <v>807</v>
      </c>
      <c r="O110" s="3" t="s">
        <v>808</v>
      </c>
      <c r="P110" s="7">
        <v>5</v>
      </c>
      <c r="Q110" s="10" t="s">
        <v>49</v>
      </c>
      <c r="R110" s="3" t="s">
        <v>50</v>
      </c>
      <c r="S110" s="3" t="s">
        <v>895</v>
      </c>
      <c r="T110" s="3" t="s">
        <v>896</v>
      </c>
      <c r="U110" s="7">
        <v>6</v>
      </c>
      <c r="V110" s="9" t="s">
        <v>897</v>
      </c>
      <c r="W110" s="9" t="s">
        <v>898</v>
      </c>
      <c r="X110" s="7" t="s">
        <v>40</v>
      </c>
      <c r="Y110" s="9"/>
    </row>
    <row r="111" spans="1:25" ht="25" x14ac:dyDescent="0.35">
      <c r="A111" s="2" t="s">
        <v>899</v>
      </c>
      <c r="B111" s="3" t="s">
        <v>828</v>
      </c>
      <c r="C111" s="11" t="s">
        <v>114</v>
      </c>
      <c r="D111" s="5">
        <v>600</v>
      </c>
      <c r="E111" s="5">
        <f>Business_Info!$B$3</f>
        <v>20</v>
      </c>
      <c r="F111" s="6">
        <f t="shared" si="6"/>
        <v>580</v>
      </c>
      <c r="G111" s="7">
        <v>24</v>
      </c>
      <c r="H111" s="5">
        <f t="shared" si="7"/>
        <v>14400</v>
      </c>
      <c r="I111" s="7">
        <v>1</v>
      </c>
      <c r="J111" s="3" t="s">
        <v>829</v>
      </c>
      <c r="K111" s="3" t="s">
        <v>58</v>
      </c>
      <c r="L111" s="3" t="s">
        <v>219</v>
      </c>
      <c r="M111" s="3" t="s">
        <v>900</v>
      </c>
      <c r="N111" s="7" t="s">
        <v>807</v>
      </c>
      <c r="O111" s="3" t="s">
        <v>831</v>
      </c>
      <c r="P111" s="7">
        <v>30</v>
      </c>
      <c r="Q111" s="10" t="s">
        <v>49</v>
      </c>
      <c r="R111" s="3" t="s">
        <v>50</v>
      </c>
      <c r="S111" s="3" t="s">
        <v>901</v>
      </c>
      <c r="T111" s="3" t="s">
        <v>902</v>
      </c>
      <c r="U111" s="7">
        <v>6</v>
      </c>
      <c r="V111" s="9" t="s">
        <v>903</v>
      </c>
      <c r="W111" s="9" t="s">
        <v>904</v>
      </c>
      <c r="X111" s="7" t="s">
        <v>40</v>
      </c>
      <c r="Y111" s="9"/>
    </row>
    <row r="112" spans="1:25" ht="25" x14ac:dyDescent="0.35">
      <c r="A112" s="2" t="s">
        <v>905</v>
      </c>
      <c r="B112" s="3" t="s">
        <v>906</v>
      </c>
      <c r="C112" s="4" t="s">
        <v>27</v>
      </c>
      <c r="D112" s="5">
        <v>680</v>
      </c>
      <c r="E112" s="5">
        <f>Business_Info!$B$3</f>
        <v>20</v>
      </c>
      <c r="F112" s="6">
        <f t="shared" si="6"/>
        <v>660</v>
      </c>
      <c r="G112" s="7">
        <v>24</v>
      </c>
      <c r="H112" s="5">
        <f t="shared" si="7"/>
        <v>16320</v>
      </c>
      <c r="I112" s="7">
        <v>1</v>
      </c>
      <c r="J112" s="3" t="s">
        <v>28</v>
      </c>
      <c r="K112" s="3" t="s">
        <v>154</v>
      </c>
      <c r="L112" s="3" t="s">
        <v>133</v>
      </c>
      <c r="M112" s="3" t="s">
        <v>907</v>
      </c>
      <c r="N112" s="7" t="s">
        <v>32</v>
      </c>
      <c r="O112" s="3" t="s">
        <v>135</v>
      </c>
      <c r="P112" s="7">
        <v>0</v>
      </c>
      <c r="Q112" s="8" t="s">
        <v>34</v>
      </c>
      <c r="R112" s="3" t="s">
        <v>35</v>
      </c>
      <c r="S112" s="3" t="s">
        <v>908</v>
      </c>
      <c r="T112" s="3" t="s">
        <v>909</v>
      </c>
      <c r="U112" s="7">
        <v>6</v>
      </c>
      <c r="V112" s="9" t="s">
        <v>910</v>
      </c>
      <c r="W112" s="9" t="s">
        <v>911</v>
      </c>
      <c r="X112" s="7" t="s">
        <v>40</v>
      </c>
      <c r="Y112" s="9" t="s">
        <v>13</v>
      </c>
    </row>
    <row r="113" spans="1:25" ht="25" x14ac:dyDescent="0.35">
      <c r="A113" s="2" t="s">
        <v>912</v>
      </c>
      <c r="B113" s="3" t="s">
        <v>913</v>
      </c>
      <c r="C113" s="4" t="s">
        <v>27</v>
      </c>
      <c r="D113" s="5">
        <v>740</v>
      </c>
      <c r="E113" s="5">
        <f>Business_Info!$B$3</f>
        <v>20</v>
      </c>
      <c r="F113" s="6">
        <f t="shared" si="6"/>
        <v>720</v>
      </c>
      <c r="G113" s="7">
        <v>20</v>
      </c>
      <c r="H113" s="5">
        <f t="shared" si="7"/>
        <v>14800</v>
      </c>
      <c r="I113" s="7">
        <v>1</v>
      </c>
      <c r="J113" s="3" t="s">
        <v>57</v>
      </c>
      <c r="K113" s="3" t="s">
        <v>262</v>
      </c>
      <c r="L113" s="3" t="s">
        <v>914</v>
      </c>
      <c r="M113" s="3" t="s">
        <v>915</v>
      </c>
      <c r="N113" s="7" t="s">
        <v>47</v>
      </c>
      <c r="O113" s="3" t="s">
        <v>146</v>
      </c>
      <c r="P113" s="7">
        <v>7</v>
      </c>
      <c r="Q113" s="10" t="s">
        <v>49</v>
      </c>
      <c r="R113" s="3" t="s">
        <v>50</v>
      </c>
      <c r="S113" s="3" t="s">
        <v>916</v>
      </c>
      <c r="T113" s="3" t="s">
        <v>917</v>
      </c>
      <c r="U113" s="7">
        <v>6</v>
      </c>
      <c r="V113" s="9" t="s">
        <v>918</v>
      </c>
      <c r="W113" s="9" t="s">
        <v>919</v>
      </c>
      <c r="X113" s="7" t="s">
        <v>40</v>
      </c>
      <c r="Y113" s="9" t="s">
        <v>140</v>
      </c>
    </row>
    <row r="114" spans="1:25" ht="25" x14ac:dyDescent="0.35">
      <c r="A114" s="2" t="s">
        <v>920</v>
      </c>
      <c r="B114" s="3" t="s">
        <v>921</v>
      </c>
      <c r="C114" s="4" t="s">
        <v>27</v>
      </c>
      <c r="D114" s="5">
        <v>790</v>
      </c>
      <c r="E114" s="5">
        <f>Business_Info!$B$3</f>
        <v>20</v>
      </c>
      <c r="F114" s="6">
        <f t="shared" si="6"/>
        <v>770</v>
      </c>
      <c r="G114" s="7">
        <v>18</v>
      </c>
      <c r="H114" s="5">
        <f t="shared" si="7"/>
        <v>14220</v>
      </c>
      <c r="I114" s="7">
        <v>1</v>
      </c>
      <c r="J114" s="3" t="s">
        <v>776</v>
      </c>
      <c r="K114" s="3" t="s">
        <v>922</v>
      </c>
      <c r="L114" s="3" t="s">
        <v>923</v>
      </c>
      <c r="M114" s="3" t="s">
        <v>924</v>
      </c>
      <c r="N114" s="7" t="s">
        <v>47</v>
      </c>
      <c r="O114" s="3" t="s">
        <v>157</v>
      </c>
      <c r="P114" s="7">
        <v>20</v>
      </c>
      <c r="Q114" s="10" t="s">
        <v>49</v>
      </c>
      <c r="R114" s="3" t="s">
        <v>50</v>
      </c>
      <c r="S114" s="3" t="s">
        <v>925</v>
      </c>
      <c r="T114" s="3" t="s">
        <v>926</v>
      </c>
      <c r="U114" s="7">
        <v>6</v>
      </c>
      <c r="V114" s="9" t="s">
        <v>927</v>
      </c>
      <c r="W114" s="9" t="s">
        <v>928</v>
      </c>
      <c r="X114" s="7" t="s">
        <v>40</v>
      </c>
      <c r="Y114" s="9" t="s">
        <v>316</v>
      </c>
    </row>
    <row r="115" spans="1:25" ht="25" x14ac:dyDescent="0.35">
      <c r="A115" s="2" t="s">
        <v>929</v>
      </c>
      <c r="B115" s="3" t="s">
        <v>930</v>
      </c>
      <c r="C115" s="8" t="s">
        <v>66</v>
      </c>
      <c r="D115" s="5">
        <v>620</v>
      </c>
      <c r="E115" s="5">
        <f>Business_Info!$B$3</f>
        <v>20</v>
      </c>
      <c r="F115" s="6">
        <f t="shared" si="6"/>
        <v>600</v>
      </c>
      <c r="G115" s="7">
        <v>24</v>
      </c>
      <c r="H115" s="5">
        <f t="shared" si="7"/>
        <v>14880</v>
      </c>
      <c r="I115" s="7">
        <v>1</v>
      </c>
      <c r="J115" s="3" t="s">
        <v>931</v>
      </c>
      <c r="K115" s="3" t="s">
        <v>29</v>
      </c>
      <c r="L115" s="3" t="s">
        <v>166</v>
      </c>
      <c r="M115" s="3" t="s">
        <v>932</v>
      </c>
      <c r="N115" s="7" t="s">
        <v>80</v>
      </c>
      <c r="O115" s="3" t="s">
        <v>363</v>
      </c>
      <c r="P115" s="7">
        <v>0</v>
      </c>
      <c r="Q115" s="8" t="s">
        <v>34</v>
      </c>
      <c r="R115" s="3" t="s">
        <v>35</v>
      </c>
      <c r="S115" s="3" t="s">
        <v>933</v>
      </c>
      <c r="T115" s="3" t="s">
        <v>934</v>
      </c>
      <c r="U115" s="7">
        <v>6</v>
      </c>
      <c r="V115" s="9" t="s">
        <v>935</v>
      </c>
      <c r="W115" s="9" t="s">
        <v>936</v>
      </c>
      <c r="X115" s="7" t="s">
        <v>40</v>
      </c>
      <c r="Y115" s="9" t="s">
        <v>13</v>
      </c>
    </row>
    <row r="116" spans="1:25" ht="25" x14ac:dyDescent="0.35">
      <c r="A116" s="2" t="s">
        <v>937</v>
      </c>
      <c r="B116" s="3" t="s">
        <v>938</v>
      </c>
      <c r="C116" s="8" t="s">
        <v>66</v>
      </c>
      <c r="D116" s="5">
        <v>710</v>
      </c>
      <c r="E116" s="5">
        <f>Business_Info!$B$3</f>
        <v>20</v>
      </c>
      <c r="F116" s="6">
        <f t="shared" si="6"/>
        <v>690</v>
      </c>
      <c r="G116" s="7">
        <v>22</v>
      </c>
      <c r="H116" s="5">
        <f t="shared" si="7"/>
        <v>15620</v>
      </c>
      <c r="I116" s="7">
        <v>1</v>
      </c>
      <c r="J116" s="3" t="s">
        <v>939</v>
      </c>
      <c r="K116" s="3" t="s">
        <v>940</v>
      </c>
      <c r="L116" s="3" t="s">
        <v>273</v>
      </c>
      <c r="M116" s="3" t="s">
        <v>274</v>
      </c>
      <c r="N116" s="7" t="s">
        <v>70</v>
      </c>
      <c r="O116" s="3" t="s">
        <v>371</v>
      </c>
      <c r="P116" s="7">
        <v>13</v>
      </c>
      <c r="Q116" s="10" t="s">
        <v>49</v>
      </c>
      <c r="R116" s="3" t="s">
        <v>50</v>
      </c>
      <c r="S116" s="3" t="s">
        <v>941</v>
      </c>
      <c r="T116" s="3" t="s">
        <v>942</v>
      </c>
      <c r="U116" s="7">
        <v>6</v>
      </c>
      <c r="V116" s="9" t="s">
        <v>943</v>
      </c>
      <c r="W116" s="9" t="s">
        <v>944</v>
      </c>
      <c r="X116" s="7" t="s">
        <v>40</v>
      </c>
      <c r="Y116" s="9" t="s">
        <v>13</v>
      </c>
    </row>
    <row r="117" spans="1:25" ht="25" x14ac:dyDescent="0.35">
      <c r="A117" s="2" t="s">
        <v>945</v>
      </c>
      <c r="B117" s="3" t="s">
        <v>946</v>
      </c>
      <c r="C117" s="8" t="s">
        <v>66</v>
      </c>
      <c r="D117" s="5">
        <v>780</v>
      </c>
      <c r="E117" s="5">
        <f>Business_Info!$B$3</f>
        <v>20</v>
      </c>
      <c r="F117" s="6">
        <f t="shared" si="6"/>
        <v>760</v>
      </c>
      <c r="G117" s="7">
        <v>16</v>
      </c>
      <c r="H117" s="5">
        <f t="shared" si="7"/>
        <v>12480</v>
      </c>
      <c r="I117" s="7">
        <v>1</v>
      </c>
      <c r="J117" s="3" t="s">
        <v>67</v>
      </c>
      <c r="K117" s="3" t="s">
        <v>154</v>
      </c>
      <c r="L117" s="3" t="s">
        <v>187</v>
      </c>
      <c r="M117" s="3" t="s">
        <v>188</v>
      </c>
      <c r="N117" s="7" t="s">
        <v>70</v>
      </c>
      <c r="O117" s="3" t="s">
        <v>189</v>
      </c>
      <c r="P117" s="7">
        <v>17</v>
      </c>
      <c r="Q117" s="10" t="s">
        <v>49</v>
      </c>
      <c r="R117" s="3" t="s">
        <v>50</v>
      </c>
      <c r="S117" s="3" t="s">
        <v>947</v>
      </c>
      <c r="T117" s="3" t="s">
        <v>948</v>
      </c>
      <c r="U117" s="7">
        <v>6</v>
      </c>
      <c r="V117" s="9" t="s">
        <v>949</v>
      </c>
      <c r="W117" s="9" t="s">
        <v>950</v>
      </c>
      <c r="X117" s="7" t="s">
        <v>40</v>
      </c>
      <c r="Y117" s="9" t="s">
        <v>13</v>
      </c>
    </row>
    <row r="118" spans="1:25" x14ac:dyDescent="0.35">
      <c r="A118" s="2" t="s">
        <v>951</v>
      </c>
      <c r="B118" s="3" t="s">
        <v>952</v>
      </c>
      <c r="C118" s="10" t="s">
        <v>97</v>
      </c>
      <c r="D118" s="5">
        <v>450</v>
      </c>
      <c r="E118" s="5">
        <f>Business_Info!$B$3</f>
        <v>20</v>
      </c>
      <c r="F118" s="6">
        <f t="shared" si="6"/>
        <v>430</v>
      </c>
      <c r="G118" s="7">
        <v>30</v>
      </c>
      <c r="H118" s="5">
        <f t="shared" si="7"/>
        <v>13500</v>
      </c>
      <c r="I118" s="7">
        <v>1</v>
      </c>
      <c r="J118" s="3" t="s">
        <v>887</v>
      </c>
      <c r="K118" s="3" t="s">
        <v>750</v>
      </c>
      <c r="L118" s="3" t="s">
        <v>199</v>
      </c>
      <c r="M118" s="3" t="s">
        <v>302</v>
      </c>
      <c r="N118" s="7" t="s">
        <v>116</v>
      </c>
      <c r="O118" s="3" t="s">
        <v>117</v>
      </c>
      <c r="P118" s="7">
        <v>20</v>
      </c>
      <c r="Q118" s="10" t="s">
        <v>49</v>
      </c>
      <c r="R118" s="3" t="s">
        <v>50</v>
      </c>
      <c r="S118" s="3" t="s">
        <v>953</v>
      </c>
      <c r="T118" s="3" t="s">
        <v>954</v>
      </c>
      <c r="U118" s="7">
        <v>6</v>
      </c>
      <c r="V118" s="9" t="s">
        <v>955</v>
      </c>
      <c r="W118" s="9" t="s">
        <v>956</v>
      </c>
      <c r="X118" s="7" t="s">
        <v>40</v>
      </c>
      <c r="Y118" s="9" t="s">
        <v>13</v>
      </c>
    </row>
    <row r="119" spans="1:25" ht="25" x14ac:dyDescent="0.35">
      <c r="A119" s="2" t="s">
        <v>957</v>
      </c>
      <c r="B119" s="3" t="s">
        <v>958</v>
      </c>
      <c r="C119" s="10" t="s">
        <v>97</v>
      </c>
      <c r="D119" s="5">
        <v>580</v>
      </c>
      <c r="E119" s="5">
        <f>Business_Info!$B$3</f>
        <v>20</v>
      </c>
      <c r="F119" s="6">
        <f t="shared" si="6"/>
        <v>560</v>
      </c>
      <c r="G119" s="7">
        <v>26</v>
      </c>
      <c r="H119" s="5">
        <f t="shared" si="7"/>
        <v>15080</v>
      </c>
      <c r="I119" s="7">
        <v>1</v>
      </c>
      <c r="J119" s="3" t="s">
        <v>959</v>
      </c>
      <c r="K119" s="3" t="s">
        <v>960</v>
      </c>
      <c r="L119" s="3" t="s">
        <v>961</v>
      </c>
      <c r="M119" s="3" t="s">
        <v>156</v>
      </c>
      <c r="N119" s="7" t="s">
        <v>116</v>
      </c>
      <c r="O119" s="3" t="s">
        <v>962</v>
      </c>
      <c r="P119" s="7">
        <v>2</v>
      </c>
      <c r="Q119" s="11" t="s">
        <v>190</v>
      </c>
      <c r="R119" s="3" t="s">
        <v>50</v>
      </c>
      <c r="S119" s="3" t="s">
        <v>963</v>
      </c>
      <c r="T119" s="3" t="s">
        <v>964</v>
      </c>
      <c r="U119" s="7">
        <v>6</v>
      </c>
      <c r="V119" s="9" t="s">
        <v>965</v>
      </c>
      <c r="W119" s="9" t="s">
        <v>966</v>
      </c>
      <c r="X119" s="7" t="s">
        <v>40</v>
      </c>
      <c r="Y119" s="9" t="s">
        <v>13</v>
      </c>
    </row>
    <row r="120" spans="1:25" ht="25" x14ac:dyDescent="0.35">
      <c r="A120" s="2" t="s">
        <v>967</v>
      </c>
      <c r="B120" s="3" t="s">
        <v>968</v>
      </c>
      <c r="C120" s="11" t="s">
        <v>114</v>
      </c>
      <c r="D120" s="5">
        <v>420</v>
      </c>
      <c r="E120" s="5">
        <f>Business_Info!$B$3</f>
        <v>20</v>
      </c>
      <c r="F120" s="6">
        <f t="shared" si="6"/>
        <v>400</v>
      </c>
      <c r="G120" s="7">
        <v>32</v>
      </c>
      <c r="H120" s="5">
        <f t="shared" si="7"/>
        <v>13440</v>
      </c>
      <c r="I120" s="7">
        <v>1</v>
      </c>
      <c r="J120" s="3" t="s">
        <v>969</v>
      </c>
      <c r="K120" s="3" t="s">
        <v>68</v>
      </c>
      <c r="L120" s="3" t="s">
        <v>219</v>
      </c>
      <c r="M120" s="3" t="s">
        <v>970</v>
      </c>
      <c r="N120" s="7" t="s">
        <v>221</v>
      </c>
      <c r="O120" s="3" t="s">
        <v>222</v>
      </c>
      <c r="P120" s="7">
        <v>24</v>
      </c>
      <c r="Q120" s="10" t="s">
        <v>49</v>
      </c>
      <c r="R120" s="3" t="s">
        <v>50</v>
      </c>
      <c r="S120" s="3" t="s">
        <v>971</v>
      </c>
      <c r="T120" s="3" t="s">
        <v>972</v>
      </c>
      <c r="U120" s="7">
        <v>6</v>
      </c>
      <c r="V120" s="9" t="s">
        <v>973</v>
      </c>
      <c r="W120" s="9" t="s">
        <v>974</v>
      </c>
      <c r="X120" s="7" t="s">
        <v>40</v>
      </c>
      <c r="Y120" s="9" t="s">
        <v>13</v>
      </c>
    </row>
    <row r="121" spans="1:25" ht="25" x14ac:dyDescent="0.35">
      <c r="A121" s="2" t="s">
        <v>975</v>
      </c>
      <c r="B121" s="3" t="s">
        <v>976</v>
      </c>
      <c r="C121" s="11" t="s">
        <v>114</v>
      </c>
      <c r="D121" s="5">
        <v>560</v>
      </c>
      <c r="E121" s="5">
        <f>Business_Info!$B$3</f>
        <v>20</v>
      </c>
      <c r="F121" s="6">
        <f t="shared" si="6"/>
        <v>540</v>
      </c>
      <c r="G121" s="7">
        <v>28</v>
      </c>
      <c r="H121" s="5">
        <f t="shared" si="7"/>
        <v>15680</v>
      </c>
      <c r="I121" s="7">
        <v>1</v>
      </c>
      <c r="J121" s="3" t="s">
        <v>78</v>
      </c>
      <c r="K121" s="3" t="s">
        <v>327</v>
      </c>
      <c r="L121" s="3" t="s">
        <v>751</v>
      </c>
      <c r="M121" s="3" t="s">
        <v>977</v>
      </c>
      <c r="N121" s="7" t="s">
        <v>116</v>
      </c>
      <c r="O121" s="3" t="s">
        <v>978</v>
      </c>
      <c r="P121" s="7">
        <v>34</v>
      </c>
      <c r="Q121" s="10" t="s">
        <v>49</v>
      </c>
      <c r="R121" s="3" t="s">
        <v>50</v>
      </c>
      <c r="S121" s="3" t="s">
        <v>979</v>
      </c>
      <c r="T121" s="3" t="s">
        <v>980</v>
      </c>
      <c r="U121" s="7">
        <v>6</v>
      </c>
      <c r="V121" s="9" t="s">
        <v>981</v>
      </c>
      <c r="W121" s="9" t="s">
        <v>982</v>
      </c>
      <c r="X121" s="7" t="s">
        <v>40</v>
      </c>
      <c r="Y121" s="9" t="s">
        <v>316</v>
      </c>
    </row>
  </sheetData>
  <autoFilter ref="A1:Y121" xr:uid="{00000000-0009-0000-0000-000000000000}"/>
  <hyperlinks>
    <hyperlink ref="W2" r:id="rId1" xr:uid="{6515F058-9517-4E4E-A21E-87E1E88401D8}"/>
  </hyperlinks>
  <pageMargins left="0.75" right="0.75" top="1" bottom="1" header="0.511811023622047" footer="0.511811023622047"/>
  <pageSetup paperSize="9" orientation="portrait" horizontalDpi="300" verticalDpi="30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62" customWidth="1"/>
    <col min="3" max="3" width="70" customWidth="1"/>
  </cols>
  <sheetData>
    <row r="1" spans="1:3" ht="18" x14ac:dyDescent="0.4">
      <c r="A1" s="12" t="s">
        <v>983</v>
      </c>
    </row>
    <row r="2" spans="1:3" ht="24" customHeight="1" x14ac:dyDescent="0.35">
      <c r="A2" s="1" t="s">
        <v>984</v>
      </c>
      <c r="B2" s="1" t="s">
        <v>985</v>
      </c>
      <c r="C2" s="1" t="s">
        <v>986</v>
      </c>
    </row>
    <row r="3" spans="1:3" ht="25" x14ac:dyDescent="0.35">
      <c r="A3" s="13" t="s">
        <v>987</v>
      </c>
      <c r="B3" s="14">
        <v>20</v>
      </c>
      <c r="C3" s="3" t="s">
        <v>988</v>
      </c>
    </row>
    <row r="4" spans="1:3" x14ac:dyDescent="0.35">
      <c r="A4" s="13" t="s">
        <v>989</v>
      </c>
      <c r="B4" s="15" t="s">
        <v>990</v>
      </c>
      <c r="C4" s="3" t="s">
        <v>991</v>
      </c>
    </row>
    <row r="5" spans="1:3" x14ac:dyDescent="0.35">
      <c r="A5" s="13" t="s">
        <v>992</v>
      </c>
      <c r="B5" s="3" t="s">
        <v>993</v>
      </c>
      <c r="C5" s="3"/>
    </row>
    <row r="6" spans="1:3" x14ac:dyDescent="0.35">
      <c r="A6" s="13" t="s">
        <v>994</v>
      </c>
      <c r="B6" s="3" t="s">
        <v>995</v>
      </c>
      <c r="C6" s="3" t="s">
        <v>996</v>
      </c>
    </row>
    <row r="7" spans="1:3" ht="25" x14ac:dyDescent="0.35">
      <c r="A7" s="13" t="s">
        <v>997</v>
      </c>
      <c r="B7" s="3" t="s">
        <v>998</v>
      </c>
      <c r="C7" s="3" t="s">
        <v>999</v>
      </c>
    </row>
    <row r="8" spans="1:3" x14ac:dyDescent="0.35">
      <c r="A8" s="13" t="s">
        <v>1000</v>
      </c>
      <c r="B8" s="3" t="s">
        <v>1001</v>
      </c>
      <c r="C8" s="3" t="s">
        <v>1002</v>
      </c>
    </row>
    <row r="9" spans="1:3" x14ac:dyDescent="0.35">
      <c r="A9" s="13" t="s">
        <v>1003</v>
      </c>
      <c r="B9" s="3" t="s">
        <v>1004</v>
      </c>
      <c r="C9" s="3" t="s">
        <v>1005</v>
      </c>
    </row>
    <row r="10" spans="1:3" x14ac:dyDescent="0.35">
      <c r="A10" s="13" t="s">
        <v>1006</v>
      </c>
      <c r="B10" s="3" t="s">
        <v>1007</v>
      </c>
      <c r="C10" s="3" t="s">
        <v>1008</v>
      </c>
    </row>
    <row r="11" spans="1:3" x14ac:dyDescent="0.35">
      <c r="A11" s="13" t="s">
        <v>1009</v>
      </c>
      <c r="B11" s="3" t="s">
        <v>1010</v>
      </c>
      <c r="C11" s="3" t="s">
        <v>1011</v>
      </c>
    </row>
    <row r="12" spans="1:3" ht="25" x14ac:dyDescent="0.35">
      <c r="A12" s="13" t="s">
        <v>1012</v>
      </c>
      <c r="B12" s="3" t="s">
        <v>1013</v>
      </c>
      <c r="C12" s="3" t="s">
        <v>1014</v>
      </c>
    </row>
    <row r="13" spans="1:3" x14ac:dyDescent="0.35">
      <c r="A13" s="13" t="s">
        <v>1015</v>
      </c>
      <c r="B13" s="3" t="s">
        <v>1016</v>
      </c>
      <c r="C13" s="3" t="s">
        <v>1017</v>
      </c>
    </row>
    <row r="14" spans="1:3" ht="25" x14ac:dyDescent="0.35">
      <c r="A14" s="13" t="s">
        <v>1018</v>
      </c>
      <c r="B14" s="3" t="s">
        <v>1019</v>
      </c>
      <c r="C14" s="3"/>
    </row>
    <row r="15" spans="1:3" x14ac:dyDescent="0.35">
      <c r="A15" s="13" t="s">
        <v>1020</v>
      </c>
      <c r="B15" s="3" t="s">
        <v>1021</v>
      </c>
      <c r="C15" s="3"/>
    </row>
    <row r="16" spans="1:3" x14ac:dyDescent="0.35">
      <c r="A16" s="13" t="s">
        <v>1022</v>
      </c>
      <c r="B16" s="3" t="s">
        <v>1023</v>
      </c>
      <c r="C16" s="3"/>
    </row>
    <row r="17" spans="1:3" ht="25" x14ac:dyDescent="0.35">
      <c r="A17" s="13" t="s">
        <v>1024</v>
      </c>
      <c r="B17" s="3" t="s">
        <v>1025</v>
      </c>
      <c r="C17" s="3" t="s">
        <v>1026</v>
      </c>
    </row>
    <row r="18" spans="1:3" x14ac:dyDescent="0.35">
      <c r="A18" s="13" t="s">
        <v>17</v>
      </c>
      <c r="B18" s="3" t="s">
        <v>1027</v>
      </c>
      <c r="C18" s="3" t="s">
        <v>1028</v>
      </c>
    </row>
    <row r="19" spans="1:3" ht="25" x14ac:dyDescent="0.35">
      <c r="A19" s="13" t="s">
        <v>1029</v>
      </c>
      <c r="B19" s="3" t="s">
        <v>1030</v>
      </c>
      <c r="C19" s="3"/>
    </row>
    <row r="20" spans="1:3" ht="25" x14ac:dyDescent="0.35">
      <c r="A20" s="13" t="s">
        <v>1031</v>
      </c>
      <c r="B20" s="3" t="s">
        <v>1032</v>
      </c>
      <c r="C20" s="3"/>
    </row>
    <row r="21" spans="1:3" x14ac:dyDescent="0.35">
      <c r="A21" s="13" t="s">
        <v>1033</v>
      </c>
      <c r="B21" s="3" t="s">
        <v>1034</v>
      </c>
      <c r="C21" s="3" t="s">
        <v>1035</v>
      </c>
    </row>
    <row r="22" spans="1:3" ht="25" x14ac:dyDescent="0.35">
      <c r="A22" s="13" t="s">
        <v>1036</v>
      </c>
      <c r="B22" s="3" t="s">
        <v>1037</v>
      </c>
      <c r="C22" s="3" t="s">
        <v>1038</v>
      </c>
    </row>
    <row r="23" spans="1:3" ht="25" x14ac:dyDescent="0.35">
      <c r="A23" s="13" t="s">
        <v>1039</v>
      </c>
      <c r="B23" s="3" t="s">
        <v>1040</v>
      </c>
      <c r="C23" s="3" t="s">
        <v>1041</v>
      </c>
    </row>
    <row r="24" spans="1:3" ht="25" x14ac:dyDescent="0.35">
      <c r="A24" s="13" t="s">
        <v>1042</v>
      </c>
      <c r="B24" s="3" t="s">
        <v>1043</v>
      </c>
      <c r="C24" s="3"/>
    </row>
    <row r="26" spans="1:3" x14ac:dyDescent="0.35">
      <c r="A26" s="16" t="s">
        <v>1044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5" customWidth="1"/>
    <col min="2" max="2" width="18" customWidth="1"/>
    <col min="3" max="3" width="44" customWidth="1"/>
    <col min="4" max="4" width="20" customWidth="1"/>
    <col min="5" max="5" width="80" customWidth="1"/>
    <col min="6" max="6" width="28" customWidth="1"/>
  </cols>
  <sheetData>
    <row r="1" spans="1:6" ht="18" x14ac:dyDescent="0.4">
      <c r="A1" s="12" t="s">
        <v>1045</v>
      </c>
    </row>
    <row r="2" spans="1:6" x14ac:dyDescent="0.35">
      <c r="A2" s="16" t="s">
        <v>1046</v>
      </c>
    </row>
    <row r="4" spans="1:6" ht="33.75" customHeight="1" x14ac:dyDescent="0.35">
      <c r="A4" s="1" t="s">
        <v>1047</v>
      </c>
      <c r="B4" s="1" t="s">
        <v>1048</v>
      </c>
      <c r="C4" s="1" t="s">
        <v>1049</v>
      </c>
      <c r="D4" s="1" t="s">
        <v>1050</v>
      </c>
      <c r="E4" s="1" t="s">
        <v>1051</v>
      </c>
      <c r="F4" s="1" t="s">
        <v>1052</v>
      </c>
    </row>
    <row r="5" spans="1:6" ht="25" x14ac:dyDescent="0.35">
      <c r="A5" s="7">
        <v>1</v>
      </c>
      <c r="B5" s="13" t="s">
        <v>1053</v>
      </c>
      <c r="C5" s="3" t="s">
        <v>1054</v>
      </c>
      <c r="D5" s="9" t="s">
        <v>1055</v>
      </c>
      <c r="E5" s="3" t="s">
        <v>1056</v>
      </c>
      <c r="F5" s="3" t="s">
        <v>1057</v>
      </c>
    </row>
    <row r="6" spans="1:6" ht="25" x14ac:dyDescent="0.35">
      <c r="A6" s="7">
        <v>2</v>
      </c>
      <c r="B6" s="13" t="s">
        <v>1053</v>
      </c>
      <c r="C6" s="3" t="s">
        <v>1058</v>
      </c>
      <c r="D6" s="9" t="s">
        <v>1059</v>
      </c>
      <c r="E6" s="3" t="s">
        <v>1060</v>
      </c>
      <c r="F6" s="3" t="s">
        <v>1057</v>
      </c>
    </row>
    <row r="7" spans="1:6" ht="25" x14ac:dyDescent="0.35">
      <c r="A7" s="7">
        <v>3</v>
      </c>
      <c r="B7" s="13" t="s">
        <v>1061</v>
      </c>
      <c r="C7" s="3" t="s">
        <v>1062</v>
      </c>
      <c r="D7" s="9" t="s">
        <v>1063</v>
      </c>
      <c r="E7" s="3" t="s">
        <v>1064</v>
      </c>
      <c r="F7" s="3" t="s">
        <v>1065</v>
      </c>
    </row>
    <row r="8" spans="1:6" x14ac:dyDescent="0.35">
      <c r="A8" s="7">
        <v>4</v>
      </c>
      <c r="B8" s="13" t="s">
        <v>1061</v>
      </c>
      <c r="C8" s="3" t="s">
        <v>1066</v>
      </c>
      <c r="D8" s="9" t="s">
        <v>1067</v>
      </c>
      <c r="E8" s="3" t="s">
        <v>1068</v>
      </c>
      <c r="F8" s="3" t="s">
        <v>1057</v>
      </c>
    </row>
    <row r="9" spans="1:6" x14ac:dyDescent="0.35">
      <c r="A9" s="7">
        <v>5</v>
      </c>
      <c r="B9" s="13" t="s">
        <v>1061</v>
      </c>
      <c r="C9" s="3" t="s">
        <v>1069</v>
      </c>
      <c r="D9" s="9" t="s">
        <v>1070</v>
      </c>
      <c r="E9" s="3" t="s">
        <v>1071</v>
      </c>
      <c r="F9" s="3" t="s">
        <v>1057</v>
      </c>
    </row>
    <row r="10" spans="1:6" x14ac:dyDescent="0.35">
      <c r="A10" s="7">
        <v>6</v>
      </c>
      <c r="B10" s="13" t="s">
        <v>1061</v>
      </c>
      <c r="C10" s="3" t="s">
        <v>1072</v>
      </c>
      <c r="D10" s="9" t="s">
        <v>1073</v>
      </c>
      <c r="E10" s="3" t="s">
        <v>1074</v>
      </c>
      <c r="F10" s="3" t="s">
        <v>1057</v>
      </c>
    </row>
    <row r="11" spans="1:6" ht="25" x14ac:dyDescent="0.35">
      <c r="A11" s="7">
        <v>7</v>
      </c>
      <c r="B11" s="13" t="s">
        <v>1075</v>
      </c>
      <c r="C11" s="3" t="s">
        <v>1076</v>
      </c>
      <c r="D11" s="9" t="s">
        <v>1077</v>
      </c>
      <c r="E11" s="3" t="s">
        <v>1078</v>
      </c>
      <c r="F11" s="3" t="s">
        <v>1079</v>
      </c>
    </row>
    <row r="12" spans="1:6" x14ac:dyDescent="0.35">
      <c r="A12" s="7">
        <v>8</v>
      </c>
      <c r="B12" s="13" t="s">
        <v>1075</v>
      </c>
      <c r="C12" s="3" t="s">
        <v>1080</v>
      </c>
      <c r="D12" s="9" t="s">
        <v>1077</v>
      </c>
      <c r="E12" s="3" t="s">
        <v>1081</v>
      </c>
      <c r="F12" s="3" t="s">
        <v>1057</v>
      </c>
    </row>
    <row r="13" spans="1:6" x14ac:dyDescent="0.35">
      <c r="A13" s="7">
        <v>9</v>
      </c>
      <c r="B13" s="13" t="s">
        <v>1075</v>
      </c>
      <c r="C13" s="3" t="s">
        <v>1082</v>
      </c>
      <c r="D13" s="9" t="s">
        <v>1083</v>
      </c>
      <c r="E13" s="3" t="s">
        <v>1084</v>
      </c>
      <c r="F13" s="3" t="s">
        <v>1057</v>
      </c>
    </row>
    <row r="14" spans="1:6" ht="25" x14ac:dyDescent="0.35">
      <c r="A14" s="7">
        <v>10</v>
      </c>
      <c r="B14" s="13" t="s">
        <v>1075</v>
      </c>
      <c r="C14" s="3" t="s">
        <v>1085</v>
      </c>
      <c r="D14" s="9" t="s">
        <v>1086</v>
      </c>
      <c r="E14" s="3" t="s">
        <v>1087</v>
      </c>
      <c r="F14" s="3" t="s">
        <v>1088</v>
      </c>
    </row>
    <row r="15" spans="1:6" x14ac:dyDescent="0.35">
      <c r="A15" s="7">
        <v>11</v>
      </c>
      <c r="B15" s="13" t="s">
        <v>1075</v>
      </c>
      <c r="C15" s="3" t="s">
        <v>1089</v>
      </c>
      <c r="D15" s="9" t="s">
        <v>1090</v>
      </c>
      <c r="E15" s="3" t="s">
        <v>1091</v>
      </c>
      <c r="F15" s="3" t="s">
        <v>1057</v>
      </c>
    </row>
    <row r="16" spans="1:6" ht="25" x14ac:dyDescent="0.35">
      <c r="A16" s="7">
        <v>12</v>
      </c>
      <c r="B16" s="13" t="s">
        <v>1075</v>
      </c>
      <c r="C16" s="3" t="s">
        <v>1092</v>
      </c>
      <c r="D16" s="9" t="s">
        <v>1093</v>
      </c>
      <c r="E16" s="3" t="s">
        <v>1094</v>
      </c>
      <c r="F16" s="3" t="s">
        <v>1095</v>
      </c>
    </row>
    <row r="17" spans="1:6" ht="25" x14ac:dyDescent="0.35">
      <c r="A17" s="7">
        <v>13</v>
      </c>
      <c r="B17" s="13" t="s">
        <v>1096</v>
      </c>
      <c r="C17" s="3" t="s">
        <v>1097</v>
      </c>
      <c r="D17" s="9" t="s">
        <v>1098</v>
      </c>
      <c r="E17" s="3" t="s">
        <v>1099</v>
      </c>
      <c r="F17" s="3" t="s">
        <v>1100</v>
      </c>
    </row>
    <row r="18" spans="1:6" x14ac:dyDescent="0.35">
      <c r="A18" s="7">
        <v>14</v>
      </c>
      <c r="B18" s="13" t="s">
        <v>1096</v>
      </c>
      <c r="C18" s="3" t="s">
        <v>1101</v>
      </c>
      <c r="D18" s="9" t="s">
        <v>1102</v>
      </c>
      <c r="E18" s="3" t="s">
        <v>1103</v>
      </c>
      <c r="F18" s="3" t="s">
        <v>1104</v>
      </c>
    </row>
    <row r="19" spans="1:6" x14ac:dyDescent="0.35">
      <c r="A19" s="7">
        <v>15</v>
      </c>
      <c r="B19" s="13" t="s">
        <v>1096</v>
      </c>
      <c r="C19" s="3" t="s">
        <v>1105</v>
      </c>
      <c r="D19" s="9" t="s">
        <v>1102</v>
      </c>
      <c r="E19" s="3" t="s">
        <v>1106</v>
      </c>
      <c r="F19" s="3" t="s">
        <v>1107</v>
      </c>
    </row>
    <row r="20" spans="1:6" ht="25" x14ac:dyDescent="0.35">
      <c r="A20" s="7">
        <v>16</v>
      </c>
      <c r="B20" s="13" t="s">
        <v>1096</v>
      </c>
      <c r="C20" s="3" t="s">
        <v>1108</v>
      </c>
      <c r="D20" s="9" t="s">
        <v>1102</v>
      </c>
      <c r="E20" s="3" t="s">
        <v>1109</v>
      </c>
      <c r="F20" s="3" t="s">
        <v>1110</v>
      </c>
    </row>
    <row r="21" spans="1:6" x14ac:dyDescent="0.35">
      <c r="A21" s="7">
        <v>17</v>
      </c>
      <c r="B21" s="13" t="s">
        <v>1096</v>
      </c>
      <c r="C21" s="3" t="s">
        <v>1111</v>
      </c>
      <c r="D21" s="9" t="s">
        <v>1102</v>
      </c>
      <c r="E21" s="3" t="s">
        <v>1112</v>
      </c>
      <c r="F21" s="3" t="s">
        <v>1113</v>
      </c>
    </row>
    <row r="22" spans="1:6" ht="25" x14ac:dyDescent="0.35">
      <c r="A22" s="7">
        <v>18</v>
      </c>
      <c r="B22" s="13" t="s">
        <v>1096</v>
      </c>
      <c r="C22" s="3" t="s">
        <v>1114</v>
      </c>
      <c r="D22" s="9" t="s">
        <v>1115</v>
      </c>
      <c r="E22" s="3" t="s">
        <v>1116</v>
      </c>
      <c r="F22" s="3" t="s">
        <v>1117</v>
      </c>
    </row>
    <row r="23" spans="1:6" ht="25" x14ac:dyDescent="0.35">
      <c r="A23" s="7">
        <v>19</v>
      </c>
      <c r="B23" s="13" t="s">
        <v>1096</v>
      </c>
      <c r="C23" s="3" t="s">
        <v>1118</v>
      </c>
      <c r="D23" s="9" t="s">
        <v>1119</v>
      </c>
      <c r="E23" s="3" t="s">
        <v>1120</v>
      </c>
      <c r="F23" s="3" t="s">
        <v>1121</v>
      </c>
    </row>
    <row r="24" spans="1:6" x14ac:dyDescent="0.35">
      <c r="A24" s="7">
        <v>20</v>
      </c>
      <c r="B24" s="13" t="s">
        <v>1096</v>
      </c>
      <c r="C24" s="3" t="s">
        <v>1122</v>
      </c>
      <c r="D24" s="9" t="s">
        <v>1123</v>
      </c>
      <c r="E24" s="3" t="s">
        <v>1124</v>
      </c>
      <c r="F24" s="3" t="s">
        <v>1125</v>
      </c>
    </row>
    <row r="25" spans="1:6" ht="25" x14ac:dyDescent="0.35">
      <c r="A25" s="7">
        <v>21</v>
      </c>
      <c r="B25" s="13" t="s">
        <v>1126</v>
      </c>
      <c r="C25" s="3" t="s">
        <v>1127</v>
      </c>
      <c r="D25" s="9" t="s">
        <v>1128</v>
      </c>
      <c r="E25" s="3" t="s">
        <v>1129</v>
      </c>
      <c r="F25" s="3" t="s">
        <v>1130</v>
      </c>
    </row>
    <row r="26" spans="1:6" ht="25" x14ac:dyDescent="0.35">
      <c r="A26" s="7">
        <v>22</v>
      </c>
      <c r="B26" s="13" t="s">
        <v>1126</v>
      </c>
      <c r="C26" s="3" t="s">
        <v>1131</v>
      </c>
      <c r="D26" s="9" t="s">
        <v>1132</v>
      </c>
      <c r="E26" s="3" t="s">
        <v>1133</v>
      </c>
      <c r="F26" s="3" t="s">
        <v>1134</v>
      </c>
    </row>
    <row r="27" spans="1:6" x14ac:dyDescent="0.35">
      <c r="A27" s="7">
        <v>23</v>
      </c>
      <c r="B27" s="13" t="s">
        <v>1126</v>
      </c>
      <c r="C27" s="3" t="s">
        <v>1135</v>
      </c>
      <c r="D27" s="9" t="s">
        <v>1136</v>
      </c>
      <c r="E27" s="3" t="s">
        <v>1137</v>
      </c>
      <c r="F27" s="3" t="s">
        <v>1134</v>
      </c>
    </row>
    <row r="28" spans="1:6" ht="25" x14ac:dyDescent="0.35">
      <c r="A28" s="7">
        <v>24</v>
      </c>
      <c r="B28" s="13" t="s">
        <v>1126</v>
      </c>
      <c r="C28" s="3" t="s">
        <v>1138</v>
      </c>
      <c r="D28" s="9" t="s">
        <v>1139</v>
      </c>
      <c r="E28" s="3" t="s">
        <v>1140</v>
      </c>
      <c r="F28" s="3" t="s">
        <v>1134</v>
      </c>
    </row>
    <row r="29" spans="1:6" x14ac:dyDescent="0.35">
      <c r="A29" s="7">
        <v>25</v>
      </c>
      <c r="B29" s="13" t="s">
        <v>1126</v>
      </c>
      <c r="C29" s="3" t="s">
        <v>1141</v>
      </c>
      <c r="D29" s="9" t="s">
        <v>1142</v>
      </c>
      <c r="E29" s="3" t="s">
        <v>1143</v>
      </c>
      <c r="F29" s="3" t="s">
        <v>1144</v>
      </c>
    </row>
    <row r="30" spans="1:6" x14ac:dyDescent="0.35">
      <c r="A30" s="7">
        <v>26</v>
      </c>
      <c r="B30" s="13" t="s">
        <v>1126</v>
      </c>
      <c r="C30" s="3" t="s">
        <v>1145</v>
      </c>
      <c r="D30" s="9" t="s">
        <v>1146</v>
      </c>
      <c r="E30" s="3" t="s">
        <v>1147</v>
      </c>
      <c r="F30" s="3" t="s">
        <v>1148</v>
      </c>
    </row>
    <row r="31" spans="1:6" x14ac:dyDescent="0.35">
      <c r="A31" s="7">
        <v>27</v>
      </c>
      <c r="B31" s="13" t="s">
        <v>1126</v>
      </c>
      <c r="C31" s="3" t="s">
        <v>1149</v>
      </c>
      <c r="D31" s="9" t="s">
        <v>1150</v>
      </c>
      <c r="E31" s="3" t="s">
        <v>1151</v>
      </c>
      <c r="F31" s="3" t="s">
        <v>1152</v>
      </c>
    </row>
    <row r="32" spans="1:6" x14ac:dyDescent="0.35">
      <c r="A32" s="7">
        <v>28</v>
      </c>
      <c r="B32" s="13" t="s">
        <v>1126</v>
      </c>
      <c r="C32" s="3" t="s">
        <v>1153</v>
      </c>
      <c r="D32" s="9" t="s">
        <v>1154</v>
      </c>
      <c r="E32" s="3" t="s">
        <v>1155</v>
      </c>
      <c r="F32" s="3" t="s">
        <v>1156</v>
      </c>
    </row>
    <row r="33" spans="1:6" x14ac:dyDescent="0.35">
      <c r="A33" s="7">
        <v>29</v>
      </c>
      <c r="B33" s="13" t="s">
        <v>1126</v>
      </c>
      <c r="C33" s="3" t="s">
        <v>1157</v>
      </c>
      <c r="D33" s="9" t="s">
        <v>1158</v>
      </c>
      <c r="E33" s="3" t="s">
        <v>1159</v>
      </c>
      <c r="F33" s="3" t="s">
        <v>1121</v>
      </c>
    </row>
    <row r="34" spans="1:6" x14ac:dyDescent="0.35">
      <c r="A34" s="7">
        <v>30</v>
      </c>
      <c r="B34" s="13" t="s">
        <v>1126</v>
      </c>
      <c r="C34" s="3" t="s">
        <v>1160</v>
      </c>
      <c r="D34" s="9" t="s">
        <v>1161</v>
      </c>
      <c r="E34" s="3" t="s">
        <v>1162</v>
      </c>
      <c r="F34" s="3" t="s">
        <v>1134</v>
      </c>
    </row>
    <row r="35" spans="1:6" ht="25" x14ac:dyDescent="0.35">
      <c r="A35" s="7">
        <v>31</v>
      </c>
      <c r="B35" s="13" t="s">
        <v>1126</v>
      </c>
      <c r="C35" s="3" t="s">
        <v>1163</v>
      </c>
      <c r="D35" s="9" t="s">
        <v>1164</v>
      </c>
      <c r="E35" s="3" t="s">
        <v>1165</v>
      </c>
      <c r="F35" s="3" t="s">
        <v>1125</v>
      </c>
    </row>
    <row r="36" spans="1:6" x14ac:dyDescent="0.35">
      <c r="A36" s="7">
        <v>32</v>
      </c>
      <c r="B36" s="13" t="s">
        <v>1166</v>
      </c>
      <c r="C36" s="3" t="s">
        <v>1167</v>
      </c>
      <c r="D36" s="9" t="s">
        <v>1168</v>
      </c>
      <c r="E36" s="3" t="s">
        <v>1169</v>
      </c>
      <c r="F36" s="3" t="s">
        <v>1117</v>
      </c>
    </row>
    <row r="37" spans="1:6" ht="25" x14ac:dyDescent="0.35">
      <c r="A37" s="7">
        <v>33</v>
      </c>
      <c r="B37" s="13" t="s">
        <v>1170</v>
      </c>
      <c r="C37" s="3" t="s">
        <v>1171</v>
      </c>
      <c r="D37" s="9" t="s">
        <v>1172</v>
      </c>
      <c r="E37" s="3" t="s">
        <v>1173</v>
      </c>
      <c r="F37" s="3" t="s">
        <v>1174</v>
      </c>
    </row>
    <row r="38" spans="1:6" ht="25" x14ac:dyDescent="0.35">
      <c r="A38" s="7">
        <v>34</v>
      </c>
      <c r="B38" s="13" t="s">
        <v>1170</v>
      </c>
      <c r="C38" s="3" t="s">
        <v>1175</v>
      </c>
      <c r="D38" s="9" t="s">
        <v>1176</v>
      </c>
      <c r="E38" s="3" t="s">
        <v>1177</v>
      </c>
      <c r="F38" s="3" t="s">
        <v>1178</v>
      </c>
    </row>
    <row r="39" spans="1:6" x14ac:dyDescent="0.35">
      <c r="A39" s="7">
        <v>35</v>
      </c>
      <c r="B39" s="13" t="s">
        <v>1170</v>
      </c>
      <c r="C39" s="3" t="s">
        <v>1179</v>
      </c>
      <c r="D39" s="9" t="s">
        <v>1180</v>
      </c>
      <c r="E39" s="3" t="s">
        <v>1181</v>
      </c>
      <c r="F39" s="3" t="s">
        <v>1178</v>
      </c>
    </row>
    <row r="40" spans="1:6" ht="25" x14ac:dyDescent="0.35">
      <c r="A40" s="7">
        <v>36</v>
      </c>
      <c r="B40" s="13" t="s">
        <v>1170</v>
      </c>
      <c r="C40" s="3" t="s">
        <v>1182</v>
      </c>
      <c r="D40" s="9" t="s">
        <v>1183</v>
      </c>
      <c r="E40" s="3" t="s">
        <v>1184</v>
      </c>
      <c r="F40" s="3" t="s">
        <v>1057</v>
      </c>
    </row>
    <row r="41" spans="1:6" x14ac:dyDescent="0.35">
      <c r="A41" s="7">
        <v>37</v>
      </c>
      <c r="B41" s="13" t="s">
        <v>1170</v>
      </c>
      <c r="C41" s="3" t="s">
        <v>1185</v>
      </c>
      <c r="D41" s="9" t="s">
        <v>1186</v>
      </c>
      <c r="E41" s="3" t="s">
        <v>1187</v>
      </c>
      <c r="F41" s="3" t="s">
        <v>1178</v>
      </c>
    </row>
    <row r="42" spans="1:6" ht="25" x14ac:dyDescent="0.35">
      <c r="A42" s="7">
        <v>38</v>
      </c>
      <c r="B42" s="13" t="s">
        <v>1188</v>
      </c>
      <c r="C42" s="3" t="s">
        <v>1189</v>
      </c>
      <c r="D42" s="9" t="s">
        <v>1190</v>
      </c>
      <c r="E42" s="3" t="s">
        <v>1191</v>
      </c>
      <c r="F42" s="3" t="s">
        <v>1057</v>
      </c>
    </row>
    <row r="43" spans="1:6" ht="37.5" x14ac:dyDescent="0.35">
      <c r="A43" s="7">
        <v>39</v>
      </c>
      <c r="B43" s="13" t="s">
        <v>1188</v>
      </c>
      <c r="C43" s="3" t="s">
        <v>1192</v>
      </c>
      <c r="D43" s="9" t="s">
        <v>1193</v>
      </c>
      <c r="E43" s="3" t="s">
        <v>1194</v>
      </c>
      <c r="F43" s="3" t="s">
        <v>1195</v>
      </c>
    </row>
    <row r="44" spans="1:6" x14ac:dyDescent="0.35">
      <c r="A44" s="7">
        <v>40</v>
      </c>
      <c r="B44" s="13" t="s">
        <v>1188</v>
      </c>
      <c r="C44" s="3" t="s">
        <v>1196</v>
      </c>
      <c r="D44" s="9" t="s">
        <v>1197</v>
      </c>
      <c r="E44" s="3" t="s">
        <v>1198</v>
      </c>
      <c r="F44" s="3" t="s">
        <v>1134</v>
      </c>
    </row>
    <row r="45" spans="1:6" x14ac:dyDescent="0.35">
      <c r="A45" s="7">
        <v>41</v>
      </c>
      <c r="B45" s="13" t="s">
        <v>1188</v>
      </c>
      <c r="C45" s="3" t="s">
        <v>1199</v>
      </c>
      <c r="D45" s="9" t="s">
        <v>1200</v>
      </c>
      <c r="E45" s="3" t="s">
        <v>1201</v>
      </c>
      <c r="F45" s="3" t="s">
        <v>1202</v>
      </c>
    </row>
    <row r="46" spans="1:6" x14ac:dyDescent="0.35">
      <c r="A46" s="7">
        <v>42</v>
      </c>
      <c r="B46" s="13" t="s">
        <v>1188</v>
      </c>
      <c r="C46" s="3" t="s">
        <v>1203</v>
      </c>
      <c r="D46" s="9" t="s">
        <v>1204</v>
      </c>
      <c r="E46" s="3" t="s">
        <v>1205</v>
      </c>
      <c r="F46" s="3" t="s">
        <v>1057</v>
      </c>
    </row>
    <row r="47" spans="1:6" ht="25" x14ac:dyDescent="0.35">
      <c r="A47" s="7">
        <v>43</v>
      </c>
      <c r="B47" s="13" t="s">
        <v>1188</v>
      </c>
      <c r="C47" s="3" t="s">
        <v>1206</v>
      </c>
      <c r="D47" s="9" t="s">
        <v>1207</v>
      </c>
      <c r="E47" s="3" t="s">
        <v>1208</v>
      </c>
      <c r="F47" s="3" t="s">
        <v>1057</v>
      </c>
    </row>
    <row r="48" spans="1:6" x14ac:dyDescent="0.35">
      <c r="A48" s="7">
        <v>44</v>
      </c>
      <c r="B48" s="13" t="s">
        <v>1188</v>
      </c>
      <c r="C48" s="3" t="s">
        <v>1209</v>
      </c>
      <c r="D48" s="9" t="s">
        <v>1210</v>
      </c>
      <c r="E48" s="3" t="s">
        <v>1211</v>
      </c>
      <c r="F48" s="3" t="s">
        <v>1057</v>
      </c>
    </row>
    <row r="49" spans="1:6" x14ac:dyDescent="0.35">
      <c r="A49" s="7">
        <v>45</v>
      </c>
      <c r="B49" s="13" t="s">
        <v>1212</v>
      </c>
      <c r="C49" s="3" t="s">
        <v>1213</v>
      </c>
      <c r="D49" s="9" t="s">
        <v>1214</v>
      </c>
      <c r="E49" s="3" t="s">
        <v>1215</v>
      </c>
      <c r="F49" s="3" t="s">
        <v>1057</v>
      </c>
    </row>
    <row r="50" spans="1:6" x14ac:dyDescent="0.35">
      <c r="A50" s="7">
        <v>46</v>
      </c>
      <c r="B50" s="13" t="s">
        <v>1212</v>
      </c>
      <c r="C50" s="3" t="s">
        <v>1216</v>
      </c>
      <c r="D50" s="9" t="s">
        <v>1217</v>
      </c>
      <c r="E50" s="3" t="s">
        <v>1218</v>
      </c>
      <c r="F50" s="3" t="s">
        <v>1057</v>
      </c>
    </row>
    <row r="51" spans="1:6" x14ac:dyDescent="0.35">
      <c r="A51" s="7">
        <v>47</v>
      </c>
      <c r="B51" s="13" t="s">
        <v>1212</v>
      </c>
      <c r="C51" s="3" t="s">
        <v>1219</v>
      </c>
      <c r="D51" s="9" t="s">
        <v>1220</v>
      </c>
      <c r="E51" s="3" t="s">
        <v>1221</v>
      </c>
      <c r="F51" s="3" t="s">
        <v>1057</v>
      </c>
    </row>
    <row r="52" spans="1:6" x14ac:dyDescent="0.35">
      <c r="A52" s="7">
        <v>48</v>
      </c>
      <c r="B52" s="13" t="s">
        <v>1212</v>
      </c>
      <c r="C52" s="3" t="s">
        <v>1222</v>
      </c>
      <c r="D52" s="9" t="s">
        <v>1223</v>
      </c>
      <c r="E52" s="3" t="s">
        <v>1224</v>
      </c>
      <c r="F52" s="3" t="s">
        <v>1057</v>
      </c>
    </row>
    <row r="53" spans="1:6" x14ac:dyDescent="0.35">
      <c r="A53" s="7">
        <v>49</v>
      </c>
      <c r="B53" s="13" t="s">
        <v>1225</v>
      </c>
      <c r="C53" s="3" t="s">
        <v>1226</v>
      </c>
      <c r="D53" s="9" t="s">
        <v>1227</v>
      </c>
      <c r="E53" s="3" t="s">
        <v>1228</v>
      </c>
      <c r="F53" s="3" t="s">
        <v>1057</v>
      </c>
    </row>
    <row r="54" spans="1:6" ht="25" x14ac:dyDescent="0.35">
      <c r="A54" s="7">
        <v>50</v>
      </c>
      <c r="B54" s="13" t="s">
        <v>1225</v>
      </c>
      <c r="C54" s="3" t="s">
        <v>1229</v>
      </c>
      <c r="D54" s="9" t="s">
        <v>1230</v>
      </c>
      <c r="E54" s="3" t="s">
        <v>1231</v>
      </c>
      <c r="F54" s="3" t="s">
        <v>1057</v>
      </c>
    </row>
    <row r="55" spans="1:6" ht="25" x14ac:dyDescent="0.35">
      <c r="A55" s="7">
        <v>51</v>
      </c>
      <c r="B55" s="13" t="s">
        <v>1225</v>
      </c>
      <c r="C55" s="3" t="s">
        <v>1232</v>
      </c>
      <c r="D55" s="9" t="s">
        <v>1233</v>
      </c>
      <c r="E55" s="3" t="s">
        <v>1234</v>
      </c>
      <c r="F55" s="3" t="s">
        <v>1235</v>
      </c>
    </row>
    <row r="56" spans="1:6" x14ac:dyDescent="0.35">
      <c r="A56" s="7">
        <v>52</v>
      </c>
      <c r="B56" s="13" t="s">
        <v>1225</v>
      </c>
      <c r="C56" s="3" t="s">
        <v>1236</v>
      </c>
      <c r="D56" s="9" t="s">
        <v>1237</v>
      </c>
      <c r="E56" s="3" t="s">
        <v>1238</v>
      </c>
      <c r="F56" s="3" t="s">
        <v>1057</v>
      </c>
    </row>
    <row r="57" spans="1:6" x14ac:dyDescent="0.35">
      <c r="A57" s="7">
        <v>53</v>
      </c>
      <c r="B57" s="13" t="s">
        <v>1239</v>
      </c>
      <c r="C57" s="3" t="s">
        <v>1240</v>
      </c>
      <c r="D57" s="9" t="s">
        <v>1241</v>
      </c>
      <c r="E57" s="3" t="s">
        <v>1242</v>
      </c>
      <c r="F57" s="3" t="s">
        <v>1057</v>
      </c>
    </row>
    <row r="58" spans="1:6" x14ac:dyDescent="0.35">
      <c r="A58" s="7">
        <v>54</v>
      </c>
      <c r="B58" s="13" t="s">
        <v>1239</v>
      </c>
      <c r="C58" s="3" t="s">
        <v>1243</v>
      </c>
      <c r="D58" s="9" t="s">
        <v>1244</v>
      </c>
      <c r="E58" s="3" t="s">
        <v>1245</v>
      </c>
      <c r="F58" s="3" t="s">
        <v>1057</v>
      </c>
    </row>
    <row r="59" spans="1:6" x14ac:dyDescent="0.35">
      <c r="A59" s="7">
        <v>55</v>
      </c>
      <c r="B59" s="13" t="s">
        <v>1239</v>
      </c>
      <c r="C59" s="3" t="s">
        <v>1246</v>
      </c>
      <c r="D59" s="9" t="s">
        <v>1247</v>
      </c>
      <c r="E59" s="3" t="s">
        <v>1248</v>
      </c>
      <c r="F59" s="3" t="s">
        <v>1249</v>
      </c>
    </row>
    <row r="60" spans="1:6" x14ac:dyDescent="0.35">
      <c r="A60" s="7">
        <v>56</v>
      </c>
      <c r="B60" s="13" t="s">
        <v>1250</v>
      </c>
      <c r="C60" s="3" t="s">
        <v>1251</v>
      </c>
      <c r="D60" s="9" t="s">
        <v>1252</v>
      </c>
      <c r="E60" s="3" t="s">
        <v>1253</v>
      </c>
      <c r="F60" s="3" t="s">
        <v>1202</v>
      </c>
    </row>
    <row r="61" spans="1:6" x14ac:dyDescent="0.35">
      <c r="A61" s="7">
        <v>57</v>
      </c>
      <c r="B61" s="13" t="s">
        <v>1250</v>
      </c>
      <c r="C61" s="3" t="s">
        <v>1254</v>
      </c>
      <c r="D61" s="9" t="s">
        <v>1255</v>
      </c>
      <c r="E61" s="3" t="s">
        <v>1256</v>
      </c>
      <c r="F61" s="3" t="s">
        <v>1202</v>
      </c>
    </row>
    <row r="62" spans="1:6" ht="25" x14ac:dyDescent="0.35">
      <c r="A62" s="7">
        <v>58</v>
      </c>
      <c r="B62" s="13" t="s">
        <v>1250</v>
      </c>
      <c r="C62" s="3" t="s">
        <v>1257</v>
      </c>
      <c r="D62" s="9" t="s">
        <v>1258</v>
      </c>
      <c r="E62" s="3" t="s">
        <v>1259</v>
      </c>
      <c r="F62" s="3" t="s">
        <v>1202</v>
      </c>
    </row>
    <row r="63" spans="1:6" x14ac:dyDescent="0.35">
      <c r="A63" s="7">
        <v>59</v>
      </c>
      <c r="B63" s="13" t="s">
        <v>1250</v>
      </c>
      <c r="C63" s="3" t="s">
        <v>1260</v>
      </c>
      <c r="D63" s="9" t="s">
        <v>1261</v>
      </c>
      <c r="E63" s="3" t="s">
        <v>1262</v>
      </c>
      <c r="F63" s="3" t="s">
        <v>1202</v>
      </c>
    </row>
    <row r="64" spans="1:6" x14ac:dyDescent="0.35">
      <c r="A64" s="7">
        <v>60</v>
      </c>
      <c r="B64" s="13" t="s">
        <v>1250</v>
      </c>
      <c r="C64" s="3" t="s">
        <v>1263</v>
      </c>
      <c r="D64" s="9" t="s">
        <v>1264</v>
      </c>
      <c r="E64" s="3" t="s">
        <v>1265</v>
      </c>
      <c r="F64" s="3" t="s">
        <v>1202</v>
      </c>
    </row>
    <row r="65" spans="1:6" ht="25" x14ac:dyDescent="0.35">
      <c r="A65" s="7">
        <v>61</v>
      </c>
      <c r="B65" s="13" t="s">
        <v>1266</v>
      </c>
      <c r="C65" s="3" t="s">
        <v>1267</v>
      </c>
      <c r="D65" s="9" t="s">
        <v>1268</v>
      </c>
      <c r="E65" s="3" t="s">
        <v>1269</v>
      </c>
      <c r="F65" s="3" t="s">
        <v>1202</v>
      </c>
    </row>
    <row r="66" spans="1:6" x14ac:dyDescent="0.35">
      <c r="A66" s="7">
        <v>62</v>
      </c>
      <c r="B66" s="13" t="s">
        <v>1266</v>
      </c>
      <c r="C66" s="3" t="s">
        <v>1270</v>
      </c>
      <c r="D66" s="9" t="s">
        <v>1271</v>
      </c>
      <c r="E66" s="3" t="s">
        <v>1272</v>
      </c>
      <c r="F66" s="3" t="s">
        <v>1202</v>
      </c>
    </row>
    <row r="67" spans="1:6" x14ac:dyDescent="0.35">
      <c r="A67" s="7">
        <v>63</v>
      </c>
      <c r="B67" s="13" t="s">
        <v>1273</v>
      </c>
      <c r="C67" s="3" t="s">
        <v>1274</v>
      </c>
      <c r="D67" s="9" t="s">
        <v>1275</v>
      </c>
      <c r="E67" s="3" t="s">
        <v>1276</v>
      </c>
      <c r="F67" s="3" t="s">
        <v>1057</v>
      </c>
    </row>
    <row r="68" spans="1:6" ht="25" x14ac:dyDescent="0.35">
      <c r="A68" s="7">
        <v>64</v>
      </c>
      <c r="B68" s="13" t="s">
        <v>1273</v>
      </c>
      <c r="C68" s="3" t="s">
        <v>1277</v>
      </c>
      <c r="D68" s="9" t="s">
        <v>1278</v>
      </c>
      <c r="E68" s="3" t="s">
        <v>1279</v>
      </c>
      <c r="F68" s="3" t="s">
        <v>1125</v>
      </c>
    </row>
    <row r="69" spans="1:6" x14ac:dyDescent="0.35">
      <c r="A69" s="7">
        <v>65</v>
      </c>
      <c r="B69" s="13" t="s">
        <v>1273</v>
      </c>
      <c r="C69" s="3" t="s">
        <v>1280</v>
      </c>
      <c r="D69" s="9" t="s">
        <v>1281</v>
      </c>
      <c r="E69" s="3" t="s">
        <v>1282</v>
      </c>
      <c r="F69" s="3" t="s">
        <v>1125</v>
      </c>
    </row>
    <row r="70" spans="1:6" x14ac:dyDescent="0.35">
      <c r="A70" s="7">
        <v>66</v>
      </c>
      <c r="B70" s="13" t="s">
        <v>1273</v>
      </c>
      <c r="C70" s="3" t="s">
        <v>1283</v>
      </c>
      <c r="D70" s="9" t="s">
        <v>1284</v>
      </c>
      <c r="E70" s="3" t="s">
        <v>1285</v>
      </c>
      <c r="F70" s="3" t="s">
        <v>1125</v>
      </c>
    </row>
  </sheetData>
  <autoFilter ref="A4:F70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10" customWidth="1"/>
    <col min="2" max="2" width="17" customWidth="1"/>
    <col min="3" max="3" width="18" customWidth="1"/>
    <col min="4" max="4" width="22" customWidth="1"/>
    <col min="5" max="5" width="16" customWidth="1"/>
    <col min="6" max="7" width="13" customWidth="1"/>
    <col min="8" max="8" width="22" customWidth="1"/>
    <col min="9" max="9" width="38" customWidth="1"/>
    <col min="10" max="10" width="9" customWidth="1"/>
    <col min="11" max="11" width="15" customWidth="1"/>
    <col min="12" max="12" width="16" customWidth="1"/>
    <col min="13" max="13" width="26" customWidth="1"/>
    <col min="14" max="14" width="12" customWidth="1"/>
    <col min="15" max="15" width="20" customWidth="1"/>
    <col min="16" max="17" width="9" customWidth="1"/>
    <col min="18" max="18" width="44" customWidth="1"/>
    <col min="19" max="19" width="15" customWidth="1"/>
    <col min="20" max="21" width="16" customWidth="1"/>
    <col min="22" max="22" width="10" customWidth="1"/>
  </cols>
  <sheetData>
    <row r="1" spans="1:22" ht="43.5" customHeight="1" x14ac:dyDescent="0.35">
      <c r="A1" s="1" t="s">
        <v>1286</v>
      </c>
      <c r="B1" s="1" t="s">
        <v>1287</v>
      </c>
      <c r="C1" s="1" t="s">
        <v>1288</v>
      </c>
      <c r="D1" s="1" t="s">
        <v>1289</v>
      </c>
      <c r="E1" s="1" t="s">
        <v>992</v>
      </c>
      <c r="F1" s="1" t="s">
        <v>1290</v>
      </c>
      <c r="G1" s="1" t="s">
        <v>1291</v>
      </c>
      <c r="H1" s="1" t="s">
        <v>1292</v>
      </c>
      <c r="I1" s="1" t="s">
        <v>1293</v>
      </c>
      <c r="J1" s="1" t="s">
        <v>1294</v>
      </c>
      <c r="K1" s="1" t="s">
        <v>1295</v>
      </c>
      <c r="L1" s="1" t="s">
        <v>1296</v>
      </c>
      <c r="M1" s="1" t="s">
        <v>1297</v>
      </c>
      <c r="N1" s="1" t="s">
        <v>1298</v>
      </c>
      <c r="O1" s="1" t="s">
        <v>1299</v>
      </c>
      <c r="P1" s="1" t="s">
        <v>1300</v>
      </c>
      <c r="Q1" s="1" t="s">
        <v>1301</v>
      </c>
      <c r="R1" s="1" t="s">
        <v>1302</v>
      </c>
      <c r="S1" s="1" t="s">
        <v>1303</v>
      </c>
      <c r="T1" s="1" t="s">
        <v>1304</v>
      </c>
      <c r="U1" s="1" t="s">
        <v>1305</v>
      </c>
      <c r="V1" s="1" t="s">
        <v>1306</v>
      </c>
    </row>
    <row r="2" spans="1:22" ht="26" x14ac:dyDescent="0.35">
      <c r="A2" s="17" t="s">
        <v>1307</v>
      </c>
      <c r="B2" s="17" t="s">
        <v>1308</v>
      </c>
      <c r="C2" s="17" t="s">
        <v>1309</v>
      </c>
      <c r="D2" s="17" t="s">
        <v>1310</v>
      </c>
      <c r="E2" s="17" t="s">
        <v>1311</v>
      </c>
      <c r="F2" s="17" t="s">
        <v>1312</v>
      </c>
      <c r="G2" s="17" t="s">
        <v>1313</v>
      </c>
      <c r="H2" s="17" t="s">
        <v>1314</v>
      </c>
      <c r="I2" s="18" t="s">
        <v>1315</v>
      </c>
      <c r="J2" s="17">
        <v>3</v>
      </c>
      <c r="K2" s="19">
        <f>680*24*2+720*22</f>
        <v>48480</v>
      </c>
      <c r="L2" s="17" t="s">
        <v>1316</v>
      </c>
      <c r="M2" s="17" t="s">
        <v>1317</v>
      </c>
      <c r="N2" s="18" t="s">
        <v>1318</v>
      </c>
      <c r="O2" s="17" t="s">
        <v>1319</v>
      </c>
      <c r="P2" s="17">
        <v>4</v>
      </c>
      <c r="Q2" s="17" t="s">
        <v>1320</v>
      </c>
      <c r="R2" s="17" t="s">
        <v>1321</v>
      </c>
      <c r="S2" s="18" t="s">
        <v>1125</v>
      </c>
      <c r="T2" s="17" t="s">
        <v>1322</v>
      </c>
      <c r="U2" s="17" t="s">
        <v>1323</v>
      </c>
      <c r="V2" s="17" t="s">
        <v>40</v>
      </c>
    </row>
    <row r="4" spans="1:22" x14ac:dyDescent="0.35">
      <c r="A4" s="16" t="s">
        <v>1324</v>
      </c>
    </row>
    <row r="5" spans="1:22" x14ac:dyDescent="0.35">
      <c r="A5" s="16" t="s">
        <v>1325</v>
      </c>
    </row>
    <row r="6" spans="1:22" x14ac:dyDescent="0.35">
      <c r="A6" s="16" t="s">
        <v>1326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11" customWidth="1"/>
    <col min="3" max="4" width="15" customWidth="1"/>
    <col min="5" max="5" width="16" customWidth="1"/>
    <col min="6" max="6" width="13" customWidth="1"/>
    <col min="7" max="7" width="15" customWidth="1"/>
  </cols>
  <sheetData>
    <row r="1" spans="1:7" ht="18" x14ac:dyDescent="0.4">
      <c r="A1" s="12" t="s">
        <v>1327</v>
      </c>
    </row>
    <row r="3" spans="1:7" ht="31.5" customHeight="1" x14ac:dyDescent="0.35">
      <c r="A3" s="1" t="s">
        <v>2</v>
      </c>
      <c r="B3" s="1" t="s">
        <v>1134</v>
      </c>
      <c r="C3" s="1" t="s">
        <v>1328</v>
      </c>
      <c r="D3" s="1" t="s">
        <v>1329</v>
      </c>
      <c r="E3" s="1" t="s">
        <v>1330</v>
      </c>
      <c r="F3" s="1" t="s">
        <v>1331</v>
      </c>
      <c r="G3" s="1" t="s">
        <v>1332</v>
      </c>
    </row>
    <row r="4" spans="1:7" x14ac:dyDescent="0.35">
      <c r="A4" s="20" t="s">
        <v>27</v>
      </c>
      <c r="B4" s="7">
        <f>COUNTIF(Products!$C$2:$C$121,A4)</f>
        <v>36</v>
      </c>
      <c r="C4" s="5">
        <f>_xlfn.MINIFS(Products!$D$2:$D$121,Products!$C$2:$C$121,A4)</f>
        <v>650</v>
      </c>
      <c r="D4" s="5">
        <f>_xlfn.MAXIFS(Products!$D$2:$D$121,Products!$C$2:$C$121,A4)</f>
        <v>800</v>
      </c>
      <c r="E4" s="5">
        <f>AVERAGEIF(Products!$C$2:$C$121,A4,Products!$D$2:$D$121)</f>
        <v>746.38888888888891</v>
      </c>
      <c r="F4" s="7">
        <f>COUNTIFS(Products!$C$2:$C$121,A4,Products!$Q$2:$Q$121,"&lt;&gt;Made to Order")</f>
        <v>28</v>
      </c>
      <c r="G4" s="7">
        <f>COUNTIFS(Products!$C$2:$C$121,A4,Products!$Q$2:$Q$121,"Made to Order")</f>
        <v>8</v>
      </c>
    </row>
    <row r="5" spans="1:7" x14ac:dyDescent="0.35">
      <c r="A5" s="21" t="s">
        <v>66</v>
      </c>
      <c r="B5" s="7">
        <f>COUNTIF(Products!$C$2:$C$121,A5)</f>
        <v>36</v>
      </c>
      <c r="C5" s="5">
        <f>_xlfn.MINIFS(Products!$D$2:$D$121,Products!$C$2:$C$121,A5)</f>
        <v>620</v>
      </c>
      <c r="D5" s="5">
        <f>_xlfn.MAXIFS(Products!$D$2:$D$121,Products!$C$2:$C$121,A5)</f>
        <v>790</v>
      </c>
      <c r="E5" s="5">
        <f>AVERAGEIF(Products!$C$2:$C$121,A5,Products!$D$2:$D$121)</f>
        <v>721.38888888888891</v>
      </c>
      <c r="F5" s="7">
        <f>COUNTIFS(Products!$C$2:$C$121,A5,Products!$Q$2:$Q$121,"&lt;&gt;Made to Order")</f>
        <v>33</v>
      </c>
      <c r="G5" s="7">
        <f>COUNTIFS(Products!$C$2:$C$121,A5,Products!$Q$2:$Q$121,"Made to Order")</f>
        <v>3</v>
      </c>
    </row>
    <row r="6" spans="1:7" x14ac:dyDescent="0.35">
      <c r="A6" s="22" t="s">
        <v>97</v>
      </c>
      <c r="B6" s="7">
        <f>COUNTIF(Products!$C$2:$C$121,A6)</f>
        <v>24</v>
      </c>
      <c r="C6" s="5">
        <f>_xlfn.MINIFS(Products!$D$2:$D$121,Products!$C$2:$C$121,A6)</f>
        <v>450</v>
      </c>
      <c r="D6" s="5">
        <f>_xlfn.MAXIFS(Products!$D$2:$D$121,Products!$C$2:$C$121,A6)</f>
        <v>580</v>
      </c>
      <c r="E6" s="5">
        <f>AVERAGEIF(Products!$C$2:$C$121,A6,Products!$D$2:$D$121)</f>
        <v>528.75</v>
      </c>
      <c r="F6" s="7">
        <f>COUNTIFS(Products!$C$2:$C$121,A6,Products!$Q$2:$Q$121,"&lt;&gt;Made to Order")</f>
        <v>22</v>
      </c>
      <c r="G6" s="7">
        <f>COUNTIFS(Products!$C$2:$C$121,A6,Products!$Q$2:$Q$121,"Made to Order")</f>
        <v>2</v>
      </c>
    </row>
    <row r="7" spans="1:7" x14ac:dyDescent="0.35">
      <c r="A7" s="23" t="s">
        <v>114</v>
      </c>
      <c r="B7" s="7">
        <f>COUNTIF(Products!$C$2:$C$121,A7)</f>
        <v>24</v>
      </c>
      <c r="C7" s="5">
        <f>_xlfn.MINIFS(Products!$D$2:$D$121,Products!$C$2:$C$121,A7)</f>
        <v>420</v>
      </c>
      <c r="D7" s="5">
        <f>_xlfn.MAXIFS(Products!$D$2:$D$121,Products!$C$2:$C$121,A7)</f>
        <v>600</v>
      </c>
      <c r="E7" s="5">
        <f>AVERAGEIF(Products!$C$2:$C$121,A7,Products!$D$2:$D$121)</f>
        <v>518.75</v>
      </c>
      <c r="F7" s="7">
        <f>COUNTIFS(Products!$C$2:$C$121,A7,Products!$Q$2:$Q$121,"&lt;&gt;Made to Order")</f>
        <v>20</v>
      </c>
      <c r="G7" s="7">
        <f>COUNTIFS(Products!$C$2:$C$121,A7,Products!$Q$2:$Q$121,"Made to Order")</f>
        <v>4</v>
      </c>
    </row>
    <row r="8" spans="1:7" x14ac:dyDescent="0.35">
      <c r="A8" s="13" t="s">
        <v>1333</v>
      </c>
      <c r="B8" s="2">
        <f>SUM(B4:B7)</f>
        <v>120</v>
      </c>
      <c r="C8" s="6">
        <f>MIN(Products!$D$2:$D$121)</f>
        <v>420</v>
      </c>
      <c r="D8" s="6">
        <f>MAX(Products!$D$2:$D$121)</f>
        <v>800</v>
      </c>
      <c r="E8" s="6">
        <f>AVERAGE(Products!$D$2:$D$121)</f>
        <v>649.83333333333337</v>
      </c>
      <c r="F8" s="2">
        <f>SUM(F4:F7)</f>
        <v>103</v>
      </c>
      <c r="G8" s="2">
        <f>SUM(G4:G7)</f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Business_Info</vt:lpstr>
      <vt:lpstr>Customer_FAQ</vt:lpstr>
      <vt:lpstr>Leads_Template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2026-10-15T11:48:04Z</dcterms:created>
  <dcterms:modified xsi:type="dcterms:W3CDTF">2026-10-15T11:51:25Z</dcterms:modified>
  <dc:language>en-US</dc:language>
</cp:coreProperties>
</file>